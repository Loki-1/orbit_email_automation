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hgazure-my.sharepoint.com/personal/dharani_talasila_optum_com/Documents/"/>
    </mc:Choice>
  </mc:AlternateContent>
  <xr:revisionPtr revIDLastSave="0" documentId="8_{780349A3-89B7-4106-A1B4-3E76F5785E88}" xr6:coauthVersionLast="47" xr6:coauthVersionMax="47" xr10:uidLastSave="{00000000-0000-0000-0000-000000000000}"/>
  <bookViews>
    <workbookView xWindow="-110" yWindow="-110" windowWidth="19420" windowHeight="10300" xr2:uid="{87FA5796-F20B-4C2F-88AE-3FFCD6219ED1}"/>
  </bookViews>
  <sheets>
    <sheet name="RBAC" sheetId="3" r:id="rId1"/>
    <sheet name="ORBIT_Use_Only" sheetId="6" r:id="rId2"/>
    <sheet name="ORBIT_Only_Workspaces" sheetId="9" r:id="rId3"/>
  </sheets>
  <definedNames>
    <definedName name="_xlnm._FilterDatabase" localSheetId="2" hidden="1">ORBIT_Only_Workspaces!$A$2:$C$8</definedName>
    <definedName name="_xlnm._FilterDatabase" localSheetId="1" hidden="1">ORBIT_Use_Only!$A$2:$L$12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3" l="1"/>
  <c r="O23" i="6"/>
  <c r="O22" i="6"/>
  <c r="O21" i="6"/>
  <c r="O20" i="6"/>
  <c r="O19" i="6"/>
  <c r="O18" i="6"/>
  <c r="O17" i="6"/>
  <c r="O16" i="6"/>
  <c r="O15" i="6"/>
  <c r="O14" i="6"/>
  <c r="O13" i="6"/>
  <c r="N23" i="6"/>
  <c r="N22" i="6"/>
  <c r="N21" i="6"/>
  <c r="N20" i="6"/>
  <c r="N19" i="6"/>
  <c r="N18" i="6"/>
  <c r="N17" i="6"/>
  <c r="N16" i="6"/>
  <c r="N15" i="6"/>
  <c r="N14" i="6"/>
  <c r="M23" i="6"/>
  <c r="M22" i="6"/>
  <c r="M21" i="6"/>
  <c r="M20" i="6"/>
  <c r="M19" i="6"/>
  <c r="M18" i="6"/>
  <c r="M17" i="6"/>
  <c r="M16" i="6"/>
  <c r="M15" i="6"/>
  <c r="M14" i="6"/>
  <c r="N13" i="6"/>
  <c r="M13" i="6"/>
  <c r="L23" i="6"/>
  <c r="L22" i="6"/>
  <c r="L21" i="6"/>
  <c r="L20" i="6"/>
  <c r="L19" i="6"/>
  <c r="L18" i="6"/>
  <c r="L17" i="6"/>
  <c r="L16" i="6"/>
  <c r="L15" i="6"/>
  <c r="L14" i="6"/>
  <c r="J23" i="6"/>
  <c r="J22" i="6"/>
  <c r="J21" i="6"/>
  <c r="J20" i="6"/>
  <c r="J19" i="6"/>
  <c r="J18" i="6"/>
  <c r="J16" i="6"/>
  <c r="J15" i="6"/>
  <c r="J14" i="6"/>
  <c r="J13" i="6"/>
  <c r="K23" i="6"/>
  <c r="K22" i="6"/>
  <c r="K21" i="6"/>
  <c r="K20" i="6"/>
  <c r="K19" i="6"/>
  <c r="K18" i="6"/>
  <c r="K16" i="6"/>
  <c r="K15" i="6"/>
  <c r="K14" i="6"/>
  <c r="K13" i="6"/>
  <c r="J17" i="6"/>
  <c r="K17" i="6"/>
  <c r="L12" i="6" l="1"/>
  <c r="L11" i="6"/>
  <c r="L10" i="6"/>
  <c r="L9" i="6"/>
  <c r="L8" i="6"/>
  <c r="L7" i="6"/>
  <c r="L6" i="6"/>
  <c r="L5" i="6"/>
  <c r="L4" i="6"/>
  <c r="L3" i="6"/>
  <c r="K12" i="6"/>
  <c r="K11" i="6"/>
  <c r="K10" i="6"/>
  <c r="K9" i="6"/>
  <c r="K8" i="6"/>
  <c r="K7" i="6"/>
  <c r="K6" i="6"/>
  <c r="K5" i="6"/>
  <c r="K4" i="6"/>
  <c r="K3" i="6"/>
  <c r="H3" i="6"/>
  <c r="B8" i="9"/>
  <c r="B7" i="9"/>
  <c r="B6" i="9"/>
  <c r="B3" i="9"/>
  <c r="B4" i="9"/>
  <c r="B5" i="9"/>
  <c r="C8" i="9"/>
  <c r="A8" i="9"/>
  <c r="C7" i="9"/>
  <c r="A7" i="9"/>
  <c r="C6" i="9"/>
  <c r="C5" i="9"/>
  <c r="C4" i="9"/>
  <c r="C3" i="9"/>
  <c r="E6" i="3"/>
  <c r="L13" i="6" s="1"/>
  <c r="E7" i="3"/>
  <c r="E8" i="3"/>
  <c r="E9" i="3"/>
  <c r="E10" i="3"/>
  <c r="E11" i="3"/>
  <c r="E12" i="3"/>
  <c r="E13" i="3"/>
  <c r="E14" i="3"/>
  <c r="E15" i="3"/>
  <c r="E16" i="3"/>
  <c r="K11" i="3"/>
  <c r="K12" i="3"/>
  <c r="K13" i="3"/>
  <c r="K14" i="3"/>
  <c r="K15" i="3"/>
  <c r="K16" i="3"/>
  <c r="N3" i="6"/>
  <c r="M3" i="6"/>
  <c r="J10" i="6"/>
  <c r="J12" i="6"/>
  <c r="J11" i="6"/>
  <c r="O11" i="6"/>
  <c r="O8" i="6"/>
  <c r="O12" i="6"/>
  <c r="O9" i="6"/>
  <c r="O6" i="6"/>
  <c r="O5" i="6"/>
  <c r="O4" i="6"/>
  <c r="N4" i="6"/>
  <c r="N8" i="6"/>
  <c r="N11" i="6"/>
  <c r="N12" i="6"/>
  <c r="N9" i="6"/>
  <c r="N6" i="6"/>
  <c r="N5" i="6"/>
  <c r="M12" i="6"/>
  <c r="M11" i="6"/>
  <c r="M10" i="6"/>
  <c r="M9" i="6"/>
  <c r="M8" i="6"/>
  <c r="M7" i="6"/>
  <c r="M6" i="6"/>
  <c r="M5" i="6"/>
  <c r="M4" i="6"/>
  <c r="N7" i="6" l="1"/>
  <c r="E10" i="6"/>
  <c r="E3" i="6"/>
  <c r="E7" i="6"/>
  <c r="D10" i="6"/>
  <c r="C7" i="6"/>
  <c r="I10" i="6"/>
  <c r="I7" i="6"/>
  <c r="I4" i="6"/>
  <c r="I3" i="6"/>
  <c r="N10" i="6"/>
  <c r="H10" i="6"/>
  <c r="O10" i="6"/>
  <c r="I12" i="6"/>
  <c r="I9" i="6"/>
  <c r="I6" i="6"/>
  <c r="H6" i="6"/>
  <c r="H12" i="6"/>
  <c r="H9" i="6"/>
  <c r="I11" i="6"/>
  <c r="I8" i="6"/>
  <c r="I5" i="6"/>
  <c r="H11" i="6"/>
  <c r="H5" i="6"/>
  <c r="H8" i="6"/>
  <c r="D3" i="6" l="1"/>
  <c r="D7" i="6"/>
  <c r="H4" i="6"/>
  <c r="H7" i="6"/>
  <c r="O3" i="6"/>
  <c r="O7" i="6"/>
  <c r="A3" i="6"/>
  <c r="C3" i="6"/>
  <c r="C10" i="6"/>
</calcChain>
</file>

<file path=xl/sharedStrings.xml><?xml version="1.0" encoding="utf-8"?>
<sst xmlns="http://schemas.openxmlformats.org/spreadsheetml/2006/main" count="178" uniqueCount="99">
  <si>
    <t>Download this file and modify your copy only</t>
  </si>
  <si>
    <t>ALL YELLOW CELLS ARE MANDATORY</t>
  </si>
  <si>
    <t>RITM</t>
  </si>
  <si>
    <t>Role</t>
  </si>
  <si>
    <t>Role Description</t>
  </si>
  <si>
    <t>Role Approver 1</t>
  </si>
  <si>
    <t>Role Approver 2</t>
  </si>
  <si>
    <t>Developer (s)</t>
  </si>
  <si>
    <t>AIDE_ID</t>
  </si>
  <si>
    <t>USER</t>
  </si>
  <si>
    <t>Report Viewer</t>
  </si>
  <si>
    <t>AIDE NAME</t>
  </si>
  <si>
    <t>OPTIONAL -  ADDITIONAL ROLES</t>
  </si>
  <si>
    <t>AIDE DESCRIPTION</t>
  </si>
  <si>
    <t>ROLE1</t>
  </si>
  <si>
    <t>EmployeeID1</t>
  </si>
  <si>
    <t>MS ID1</t>
  </si>
  <si>
    <t>EmployeeID2</t>
  </si>
  <si>
    <t>MS ID2</t>
  </si>
  <si>
    <t>ServiceNow Group</t>
  </si>
  <si>
    <t>ROLE2</t>
  </si>
  <si>
    <t>Email Distribution</t>
  </si>
  <si>
    <t>ROLE3</t>
  </si>
  <si>
    <t>Application Owner</t>
  </si>
  <si>
    <t>ROLE4</t>
  </si>
  <si>
    <t>Application Approver 1</t>
  </si>
  <si>
    <t>ROLE5</t>
  </si>
  <si>
    <t>Application Approver 2</t>
  </si>
  <si>
    <t>ROLE6</t>
  </si>
  <si>
    <t>Do you need Test Env?</t>
  </si>
  <si>
    <t>N</t>
  </si>
  <si>
    <t>ROLE7</t>
  </si>
  <si>
    <t>Do you need Extra Roles?</t>
  </si>
  <si>
    <t>ROLE8</t>
  </si>
  <si>
    <t>ROLE9</t>
  </si>
  <si>
    <t>Production</t>
  </si>
  <si>
    <t>p100</t>
  </si>
  <si>
    <t>ROLE10</t>
  </si>
  <si>
    <t>Non-Prod</t>
  </si>
  <si>
    <t>p800</t>
  </si>
  <si>
    <t>ROLE11</t>
  </si>
  <si>
    <t>==========================================================================</t>
  </si>
  <si>
    <t>DO NOT USE</t>
  </si>
  <si>
    <t>Global Group Owner</t>
  </si>
  <si>
    <t xml:space="preserve">	000600448</t>
  </si>
  <si>
    <t>nanand1</t>
  </si>
  <si>
    <t>Global Group Approver 1</t>
  </si>
  <si>
    <t xml:space="preserve">	000714540</t>
  </si>
  <si>
    <t>vkong</t>
  </si>
  <si>
    <t>Global Group Approver 2</t>
  </si>
  <si>
    <t xml:space="preserve">	001351306</t>
  </si>
  <si>
    <t>jjorge6</t>
  </si>
  <si>
    <t>Global Group Fabric Approver 1</t>
  </si>
  <si>
    <t>Global Group Fabric Approver 2</t>
  </si>
  <si>
    <t xml:space="preserve">	000750692</t>
  </si>
  <si>
    <t>mcruz39</t>
  </si>
  <si>
    <t>SECURE SELF-SERVICE</t>
  </si>
  <si>
    <t>Workspace</t>
  </si>
  <si>
    <t xml:space="preserve">Global Group </t>
  </si>
  <si>
    <t xml:space="preserve"> Application Name</t>
  </si>
  <si>
    <t>Environment</t>
  </si>
  <si>
    <t>Category</t>
  </si>
  <si>
    <t>Role Name</t>
  </si>
  <si>
    <t>Workspace ID</t>
  </si>
  <si>
    <t>Global Group Name</t>
  </si>
  <si>
    <t>Global Group Description</t>
  </si>
  <si>
    <t>Global Group Rights</t>
  </si>
  <si>
    <t>PRODUCTION</t>
  </si>
  <si>
    <t>User</t>
  </si>
  <si>
    <t>IT Report</t>
  </si>
  <si>
    <t>Owner</t>
  </si>
  <si>
    <t>Contributor</t>
  </si>
  <si>
    <t>Report Developer</t>
  </si>
  <si>
    <t>IT Fabric (Restricted - Requires Approval)</t>
  </si>
  <si>
    <t>Fabric Developer</t>
  </si>
  <si>
    <t>1F</t>
  </si>
  <si>
    <t>DEVELOPMENT</t>
  </si>
  <si>
    <t>2F</t>
  </si>
  <si>
    <t>TEST (*Optional)</t>
  </si>
  <si>
    <t xml:space="preserve"> User</t>
  </si>
  <si>
    <t>IT Fabric</t>
  </si>
  <si>
    <t>Workspace Name</t>
  </si>
  <si>
    <t>Workspace Description</t>
  </si>
  <si>
    <t>AIDE_0094185</t>
  </si>
  <si>
    <t xml:space="preserve">	
Power BI Workspace for Digital Prior Authorization</t>
  </si>
  <si>
    <t>AIDE_0094185_IntelligentAuthAccel_PowerBI</t>
  </si>
  <si>
    <t>DPA_PowerBI_Management</t>
  </si>
  <si>
    <t>nkelly13</t>
  </si>
  <si>
    <t>rbhatt27</t>
  </si>
  <si>
    <t>Y</t>
  </si>
  <si>
    <t>001939347</t>
  </si>
  <si>
    <t>001016307</t>
  </si>
  <si>
    <t>asahoo44</t>
  </si>
  <si>
    <t>pdugar1</t>
  </si>
  <si>
    <t>vharini4</t>
  </si>
  <si>
    <t>mreddysa</t>
  </si>
  <si>
    <t>rkisho11</t>
  </si>
  <si>
    <t>Intelligent Auth Accel</t>
  </si>
  <si>
    <t>RITM7831632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</si>
</sst>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28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3333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AFEE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03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/>
    </xf>
    <xf numFmtId="0" fontId="6" fillId="4" borderId="3" xfId="0" applyFont="1" applyFill="1" applyBorder="1" applyAlignment="1">
      <alignment horizontal="left" vertical="top"/>
    </xf>
    <xf numFmtId="0" fontId="4" fillId="4" borderId="4" xfId="0" applyFont="1" applyFill="1" applyBorder="1" applyAlignment="1">
      <alignment horizontal="left" vertical="top"/>
    </xf>
    <xf numFmtId="0" fontId="1" fillId="4" borderId="2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3" fillId="4" borderId="4" xfId="0" applyFont="1" applyFill="1" applyBorder="1" applyAlignment="1">
      <alignment horizontal="left" vertical="top"/>
    </xf>
    <xf numFmtId="0" fontId="6" fillId="4" borderId="2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4" borderId="11" xfId="0" applyFont="1" applyFill="1" applyBorder="1" applyAlignment="1">
      <alignment horizontal="left" vertical="top"/>
    </xf>
    <xf numFmtId="0" fontId="4" fillId="4" borderId="12" xfId="0" applyFont="1" applyFill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0" fillId="0" borderId="0" xfId="0" quotePrefix="1"/>
    <xf numFmtId="0" fontId="0" fillId="0" borderId="1" xfId="0" applyBorder="1"/>
    <xf numFmtId="0" fontId="2" fillId="2" borderId="16" xfId="0" applyFont="1" applyFill="1" applyBorder="1" applyAlignment="1">
      <alignment horizontal="center" vertical="top" wrapText="1"/>
    </xf>
    <xf numFmtId="0" fontId="12" fillId="0" borderId="0" xfId="0" applyFont="1"/>
    <xf numFmtId="0" fontId="1" fillId="0" borderId="0" xfId="0" applyFont="1" applyAlignment="1">
      <alignment horizontal="center" vertical="top" wrapText="1"/>
    </xf>
    <xf numFmtId="0" fontId="0" fillId="0" borderId="1" xfId="0" quotePrefix="1" applyBorder="1"/>
    <xf numFmtId="0" fontId="0" fillId="0" borderId="0" xfId="0" applyAlignment="1">
      <alignment horizontal="center"/>
    </xf>
    <xf numFmtId="0" fontId="5" fillId="4" borderId="8" xfId="0" applyFont="1" applyFill="1" applyBorder="1" applyAlignment="1">
      <alignment horizontal="left" vertical="top"/>
    </xf>
    <xf numFmtId="0" fontId="5" fillId="4" borderId="4" xfId="0" applyFont="1" applyFill="1" applyBorder="1" applyAlignment="1">
      <alignment horizontal="left" vertical="top" wrapText="1"/>
    </xf>
    <xf numFmtId="0" fontId="14" fillId="4" borderId="4" xfId="0" applyFont="1" applyFill="1" applyBorder="1" applyAlignment="1">
      <alignment horizontal="left" vertical="top"/>
    </xf>
    <xf numFmtId="0" fontId="14" fillId="4" borderId="8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5" fillId="4" borderId="6" xfId="0" applyFont="1" applyFill="1" applyBorder="1" applyAlignment="1">
      <alignment horizontal="left" vertical="top"/>
    </xf>
    <xf numFmtId="0" fontId="13" fillId="4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4" fillId="4" borderId="1" xfId="0" applyFont="1" applyFill="1" applyBorder="1" applyAlignment="1">
      <alignment horizontal="left" vertical="top"/>
    </xf>
    <xf numFmtId="0" fontId="14" fillId="4" borderId="6" xfId="0" applyFont="1" applyFill="1" applyBorder="1" applyAlignment="1">
      <alignment horizontal="left" vertical="top"/>
    </xf>
    <xf numFmtId="0" fontId="14" fillId="4" borderId="12" xfId="0" applyFont="1" applyFill="1" applyBorder="1" applyAlignment="1">
      <alignment horizontal="left" vertical="top"/>
    </xf>
    <xf numFmtId="0" fontId="14" fillId="4" borderId="13" xfId="0" applyFont="1" applyFill="1" applyBorder="1" applyAlignment="1">
      <alignment horizontal="left" vertical="top"/>
    </xf>
    <xf numFmtId="0" fontId="2" fillId="7" borderId="22" xfId="0" applyFont="1" applyFill="1" applyBorder="1" applyAlignment="1">
      <alignment horizontal="center" vertical="top" wrapText="1"/>
    </xf>
    <xf numFmtId="0" fontId="2" fillId="7" borderId="23" xfId="0" applyFont="1" applyFill="1" applyBorder="1" applyAlignment="1">
      <alignment horizontal="center" vertical="top"/>
    </xf>
    <xf numFmtId="0" fontId="2" fillId="7" borderId="24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left" vertical="top" wrapText="1"/>
    </xf>
    <xf numFmtId="0" fontId="2" fillId="2" borderId="28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15" fillId="2" borderId="1" xfId="0" applyFont="1" applyFill="1" applyBorder="1" applyAlignment="1">
      <alignment horizontal="left" vertical="top"/>
    </xf>
    <xf numFmtId="0" fontId="17" fillId="0" borderId="0" xfId="0" applyFont="1" applyAlignment="1">
      <alignment horizontal="left"/>
    </xf>
    <xf numFmtId="49" fontId="0" fillId="4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49" fontId="20" fillId="4" borderId="1" xfId="0" applyNumberFormat="1" applyFont="1" applyFill="1" applyBorder="1"/>
    <xf numFmtId="0" fontId="0" fillId="4" borderId="1" xfId="0" applyFill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19" fillId="4" borderId="1" xfId="1" applyFont="1" applyFill="1" applyBorder="1" applyAlignment="1">
      <alignment vertical="center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vertical="top"/>
    </xf>
    <xf numFmtId="0" fontId="8" fillId="2" borderId="19" xfId="0" applyFont="1" applyFill="1" applyBorder="1" applyAlignment="1">
      <alignment horizontal="center" vertical="top" wrapText="1"/>
    </xf>
    <xf numFmtId="0" fontId="7" fillId="4" borderId="29" xfId="0" applyFont="1" applyFill="1" applyBorder="1" applyAlignment="1">
      <alignment horizontal="left" vertical="top" wrapText="1"/>
    </xf>
    <xf numFmtId="0" fontId="7" fillId="4" borderId="25" xfId="0" applyFont="1" applyFill="1" applyBorder="1" applyAlignment="1">
      <alignment horizontal="left" vertical="top"/>
    </xf>
    <xf numFmtId="0" fontId="7" fillId="0" borderId="25" xfId="0" applyFont="1" applyBorder="1" applyAlignment="1">
      <alignment horizontal="left" vertical="top"/>
    </xf>
    <xf numFmtId="0" fontId="4" fillId="4" borderId="29" xfId="0" applyFont="1" applyFill="1" applyBorder="1" applyAlignment="1">
      <alignment horizontal="left" vertical="top"/>
    </xf>
    <xf numFmtId="0" fontId="4" fillId="4" borderId="25" xfId="0" applyFont="1" applyFill="1" applyBorder="1" applyAlignment="1">
      <alignment horizontal="left" vertical="top"/>
    </xf>
    <xf numFmtId="0" fontId="4" fillId="4" borderId="30" xfId="0" applyFont="1" applyFill="1" applyBorder="1" applyAlignment="1">
      <alignment horizontal="left" vertical="top"/>
    </xf>
    <xf numFmtId="0" fontId="7" fillId="4" borderId="14" xfId="0" applyFont="1" applyFill="1" applyBorder="1" applyAlignment="1">
      <alignment horizontal="left" vertical="top" wrapText="1"/>
    </xf>
    <xf numFmtId="0" fontId="7" fillId="4" borderId="5" xfId="0" applyFont="1" applyFill="1" applyBorder="1" applyAlignment="1">
      <alignment horizontal="left" vertical="top"/>
    </xf>
    <xf numFmtId="0" fontId="4" fillId="4" borderId="14" xfId="0" applyFont="1" applyFill="1" applyBorder="1" applyAlignment="1">
      <alignment horizontal="left" vertical="top"/>
    </xf>
    <xf numFmtId="0" fontId="4" fillId="4" borderId="10" xfId="0" applyFont="1" applyFill="1" applyBorder="1" applyAlignment="1">
      <alignment horizontal="left" vertical="top"/>
    </xf>
    <xf numFmtId="0" fontId="5" fillId="4" borderId="4" xfId="0" applyFont="1" applyFill="1" applyBorder="1" applyAlignment="1">
      <alignment horizontal="left" vertical="top"/>
    </xf>
    <xf numFmtId="0" fontId="2" fillId="8" borderId="22" xfId="0" applyFont="1" applyFill="1" applyBorder="1" applyAlignment="1">
      <alignment horizontal="center" vertical="top" wrapText="1"/>
    </xf>
    <xf numFmtId="0" fontId="2" fillId="8" borderId="23" xfId="0" applyFont="1" applyFill="1" applyBorder="1" applyAlignment="1">
      <alignment horizontal="center" vertical="top" wrapText="1"/>
    </xf>
    <xf numFmtId="0" fontId="2" fillId="8" borderId="24" xfId="0" applyFont="1" applyFill="1" applyBorder="1" applyAlignment="1">
      <alignment horizontal="center" vertical="top" wrapText="1"/>
    </xf>
    <xf numFmtId="0" fontId="2" fillId="6" borderId="22" xfId="0" applyFont="1" applyFill="1" applyBorder="1" applyAlignment="1">
      <alignment horizontal="center" vertical="top" wrapText="1"/>
    </xf>
    <xf numFmtId="0" fontId="2" fillId="6" borderId="23" xfId="0" applyFont="1" applyFill="1" applyBorder="1" applyAlignment="1">
      <alignment horizontal="center" vertical="top" wrapText="1"/>
    </xf>
    <xf numFmtId="0" fontId="2" fillId="6" borderId="31" xfId="0" applyFont="1" applyFill="1" applyBorder="1" applyAlignment="1">
      <alignment horizontal="center" vertical="top" wrapText="1"/>
    </xf>
    <xf numFmtId="0" fontId="2" fillId="6" borderId="24" xfId="0" applyFont="1" applyFill="1" applyBorder="1" applyAlignment="1">
      <alignment horizontal="center" vertical="top" wrapText="1"/>
    </xf>
    <xf numFmtId="0" fontId="1" fillId="4" borderId="12" xfId="0" applyFont="1" applyFill="1" applyBorder="1" applyAlignment="1">
      <alignment horizontal="left" vertical="top"/>
    </xf>
    <xf numFmtId="0" fontId="16" fillId="0" borderId="0" xfId="0" applyFont="1" applyAlignment="1">
      <alignment horizontal="left"/>
    </xf>
    <xf numFmtId="0" fontId="2" fillId="3" borderId="25" xfId="0" applyFont="1" applyFill="1" applyBorder="1" applyAlignment="1">
      <alignment horizontal="center" vertical="top" wrapText="1"/>
    </xf>
    <xf numFmtId="0" fontId="2" fillId="3" borderId="27" xfId="0" applyFont="1" applyFill="1" applyBorder="1" applyAlignment="1">
      <alignment horizontal="center" vertical="top" wrapText="1"/>
    </xf>
    <xf numFmtId="0" fontId="0" fillId="3" borderId="27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2" fillId="2" borderId="17" xfId="0" applyFont="1" applyFill="1" applyBorder="1" applyAlignment="1">
      <alignment horizontal="center" vertical="top"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8" fillId="5" borderId="19" xfId="0" applyFont="1" applyFill="1" applyBorder="1" applyAlignment="1">
      <alignment horizontal="center" vertical="top"/>
    </xf>
    <xf numFmtId="0" fontId="8" fillId="5" borderId="20" xfId="0" applyFont="1" applyFill="1" applyBorder="1" applyAlignment="1">
      <alignment horizontal="center" vertical="top"/>
    </xf>
    <xf numFmtId="0" fontId="8" fillId="5" borderId="21" xfId="0" applyFont="1" applyFill="1" applyBorder="1" applyAlignment="1">
      <alignment horizontal="center" vertical="top"/>
    </xf>
    <xf numFmtId="0" fontId="10" fillId="3" borderId="19" xfId="0" applyFont="1" applyFill="1" applyBorder="1" applyAlignment="1">
      <alignment horizontal="center" vertical="top" wrapText="1"/>
    </xf>
    <xf numFmtId="0" fontId="11" fillId="3" borderId="20" xfId="0" applyFont="1" applyFill="1" applyBorder="1" applyAlignment="1">
      <alignment horizontal="center" vertical="top" wrapText="1"/>
    </xf>
    <xf numFmtId="0" fontId="11" fillId="3" borderId="21" xfId="0" applyFont="1" applyFill="1" applyBorder="1" applyAlignment="1">
      <alignment horizontal="center" vertical="top" wrapText="1"/>
    </xf>
    <xf numFmtId="0" fontId="8" fillId="2" borderId="19" xfId="0" applyFont="1" applyFill="1" applyBorder="1" applyAlignment="1">
      <alignment horizontal="center" vertical="top" wrapText="1"/>
    </xf>
    <xf numFmtId="0" fontId="9" fillId="0" borderId="20" xfId="0" applyFont="1" applyBorder="1" applyAlignment="1">
      <alignment horizontal="center" vertical="top" wrapText="1"/>
    </xf>
    <xf numFmtId="0" fontId="9" fillId="0" borderId="21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AF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1EB54-5421-40E5-814C-F67385F3EC81}">
  <dimension ref="A1:K29"/>
  <sheetViews>
    <sheetView tabSelected="1" zoomScale="80" zoomScaleNormal="80" workbookViewId="0">
      <selection activeCell="D10" sqref="D10"/>
    </sheetView>
  </sheetViews>
  <sheetFormatPr defaultColWidth="8.81640625" defaultRowHeight="14.5" x14ac:dyDescent="0.35"/>
  <cols>
    <col min="1" max="1" width="24.6328125" customWidth="1"/>
    <col min="2" max="2" width="23" customWidth="1"/>
    <col min="3" max="3" width="21.453125" customWidth="1"/>
    <col min="4" max="4" width="9.6328125" customWidth="1"/>
    <col min="5" max="5" width="20.36328125" customWidth="1"/>
    <col min="6" max="6" width="21.6328125" style="32" customWidth="1"/>
    <col min="7" max="7" width="15.36328125" style="32" bestFit="1" customWidth="1"/>
    <col min="8" max="8" width="21.6328125" style="32" customWidth="1"/>
    <col min="9" max="9" width="15.36328125" style="32" bestFit="1" customWidth="1"/>
    <col min="10" max="10" width="6.453125" customWidth="1"/>
    <col min="11" max="11" width="13.36328125" customWidth="1"/>
  </cols>
  <sheetData>
    <row r="1" spans="1:11" s="55" customFormat="1" ht="37" x14ac:dyDescent="0.85">
      <c r="A1" s="84" t="s">
        <v>0</v>
      </c>
      <c r="B1" s="84"/>
      <c r="C1" s="84"/>
      <c r="D1" s="84"/>
      <c r="E1" s="84"/>
      <c r="F1" s="84"/>
      <c r="G1" s="84"/>
      <c r="H1" s="84"/>
      <c r="I1" s="84"/>
      <c r="J1" s="84"/>
    </row>
    <row r="2" spans="1:11" ht="18.5" x14ac:dyDescent="0.45">
      <c r="A2" s="92" t="s">
        <v>1</v>
      </c>
      <c r="B2" s="93"/>
      <c r="D2" s="92" t="s">
        <v>1</v>
      </c>
      <c r="E2" s="92"/>
      <c r="F2" s="93"/>
      <c r="G2" s="93"/>
      <c r="H2" s="93"/>
      <c r="I2" s="93"/>
      <c r="K2" s="29" t="s">
        <v>1</v>
      </c>
    </row>
    <row r="3" spans="1:11" ht="24.5" customHeight="1" x14ac:dyDescent="0.35">
      <c r="A3" s="60" t="s">
        <v>2</v>
      </c>
      <c r="B3" s="61" t="s">
        <v>98</v>
      </c>
      <c r="D3" s="28" t="s">
        <v>3</v>
      </c>
      <c r="E3" s="51" t="s">
        <v>4</v>
      </c>
      <c r="F3" s="89" t="s">
        <v>5</v>
      </c>
      <c r="G3" s="90"/>
      <c r="H3" s="89" t="s">
        <v>6</v>
      </c>
      <c r="I3" s="91"/>
      <c r="K3" s="6" t="s">
        <v>7</v>
      </c>
    </row>
    <row r="4" spans="1:11" ht="16" x14ac:dyDescent="0.35">
      <c r="A4" s="6" t="s">
        <v>8</v>
      </c>
      <c r="B4" s="53" t="s">
        <v>83</v>
      </c>
      <c r="D4" s="6" t="s">
        <v>9</v>
      </c>
      <c r="E4" s="6" t="s">
        <v>10</v>
      </c>
      <c r="F4" s="56" t="s">
        <v>91</v>
      </c>
      <c r="G4" s="57" t="s">
        <v>87</v>
      </c>
      <c r="H4" s="58" t="s">
        <v>90</v>
      </c>
      <c r="I4" s="53" t="s">
        <v>88</v>
      </c>
      <c r="K4" s="57" t="s">
        <v>92</v>
      </c>
    </row>
    <row r="5" spans="1:11" ht="16" x14ac:dyDescent="0.35">
      <c r="A5" s="6" t="s">
        <v>11</v>
      </c>
      <c r="B5" s="53" t="s">
        <v>97</v>
      </c>
      <c r="D5" s="85" t="s">
        <v>12</v>
      </c>
      <c r="E5" s="86"/>
      <c r="F5" s="87"/>
      <c r="G5" s="87"/>
      <c r="H5" s="87"/>
      <c r="I5" s="88"/>
      <c r="K5" s="57" t="s">
        <v>93</v>
      </c>
    </row>
    <row r="6" spans="1:11" ht="43.5" x14ac:dyDescent="0.35">
      <c r="A6" s="6" t="s">
        <v>13</v>
      </c>
      <c r="B6" s="59" t="s">
        <v>84</v>
      </c>
      <c r="D6" s="54" t="s">
        <v>14</v>
      </c>
      <c r="E6" s="54" t="str">
        <f>"[" &amp; D6&amp;" Description]"</f>
        <v>[ROLE1 Description]</v>
      </c>
      <c r="F6" s="52" t="s">
        <v>15</v>
      </c>
      <c r="G6" s="52" t="s">
        <v>16</v>
      </c>
      <c r="H6" s="52" t="s">
        <v>17</v>
      </c>
      <c r="I6" s="52" t="s">
        <v>18</v>
      </c>
      <c r="K6" s="27" t="s">
        <v>94</v>
      </c>
    </row>
    <row r="7" spans="1:11" ht="16" x14ac:dyDescent="0.35">
      <c r="A7" s="6" t="s">
        <v>19</v>
      </c>
      <c r="B7" s="53" t="s">
        <v>85</v>
      </c>
      <c r="D7" s="54" t="s">
        <v>20</v>
      </c>
      <c r="E7" s="54" t="str">
        <f t="shared" ref="E7:E16" si="0">"[" &amp; D7&amp;" Description]"</f>
        <v>[ROLE2 Description]</v>
      </c>
      <c r="F7" s="52" t="s">
        <v>15</v>
      </c>
      <c r="G7" s="52" t="s">
        <v>16</v>
      </c>
      <c r="H7" s="52" t="s">
        <v>17</v>
      </c>
      <c r="I7" s="52" t="s">
        <v>18</v>
      </c>
      <c r="K7" s="27"/>
    </row>
    <row r="8" spans="1:11" ht="16" x14ac:dyDescent="0.35">
      <c r="A8" s="6" t="s">
        <v>21</v>
      </c>
      <c r="B8" s="53" t="s">
        <v>86</v>
      </c>
      <c r="D8" s="54" t="s">
        <v>22</v>
      </c>
      <c r="E8" s="54" t="str">
        <f t="shared" si="0"/>
        <v>[ROLE3 Description]</v>
      </c>
      <c r="F8" s="52" t="s">
        <v>15</v>
      </c>
      <c r="G8" s="52" t="s">
        <v>16</v>
      </c>
      <c r="H8" s="52" t="s">
        <v>17</v>
      </c>
      <c r="I8" s="52" t="s">
        <v>18</v>
      </c>
      <c r="K8" s="27" t="s">
        <v>95</v>
      </c>
    </row>
    <row r="9" spans="1:11" ht="16" x14ac:dyDescent="0.35">
      <c r="A9" s="6" t="s">
        <v>23</v>
      </c>
      <c r="B9" s="53" t="s">
        <v>87</v>
      </c>
      <c r="D9" s="54" t="s">
        <v>24</v>
      </c>
      <c r="E9" s="54" t="str">
        <f t="shared" si="0"/>
        <v>[ROLE4 Description]</v>
      </c>
      <c r="F9" s="52" t="s">
        <v>15</v>
      </c>
      <c r="G9" s="52" t="s">
        <v>16</v>
      </c>
      <c r="H9" s="52" t="s">
        <v>17</v>
      </c>
      <c r="I9" s="52" t="s">
        <v>18</v>
      </c>
      <c r="K9" s="27" t="s">
        <v>96</v>
      </c>
    </row>
    <row r="10" spans="1:11" ht="16" x14ac:dyDescent="0.35">
      <c r="A10" s="6" t="s">
        <v>25</v>
      </c>
      <c r="B10" s="53" t="s">
        <v>87</v>
      </c>
      <c r="D10" s="54" t="s">
        <v>26</v>
      </c>
      <c r="E10" s="54" t="str">
        <f t="shared" si="0"/>
        <v>[ROLE5 Description]</v>
      </c>
      <c r="F10" s="52" t="s">
        <v>15</v>
      </c>
      <c r="G10" s="52" t="s">
        <v>16</v>
      </c>
      <c r="H10" s="52" t="s">
        <v>17</v>
      </c>
      <c r="I10" s="52" t="s">
        <v>18</v>
      </c>
      <c r="K10" s="27" t="str">
        <f>"[MS ID]"</f>
        <v>[MS ID]</v>
      </c>
    </row>
    <row r="11" spans="1:11" ht="16" x14ac:dyDescent="0.35">
      <c r="A11" s="6" t="s">
        <v>27</v>
      </c>
      <c r="B11" s="53" t="s">
        <v>88</v>
      </c>
      <c r="D11" s="54" t="s">
        <v>28</v>
      </c>
      <c r="E11" s="54" t="str">
        <f t="shared" si="0"/>
        <v>[ROLE6 Description]</v>
      </c>
      <c r="F11" s="52" t="s">
        <v>15</v>
      </c>
      <c r="G11" s="52" t="s">
        <v>16</v>
      </c>
      <c r="H11" s="52" t="s">
        <v>17</v>
      </c>
      <c r="I11" s="52" t="s">
        <v>18</v>
      </c>
      <c r="K11" s="27" t="str">
        <f t="shared" ref="K11:K16" si="1">"[MS ID]"</f>
        <v>[MS ID]</v>
      </c>
    </row>
    <row r="12" spans="1:11" ht="16" x14ac:dyDescent="0.35">
      <c r="A12" s="50" t="s">
        <v>29</v>
      </c>
      <c r="B12" s="53" t="s">
        <v>89</v>
      </c>
      <c r="D12" s="54" t="s">
        <v>31</v>
      </c>
      <c r="E12" s="54" t="str">
        <f t="shared" si="0"/>
        <v>[ROLE7 Description]</v>
      </c>
      <c r="F12" s="52" t="s">
        <v>15</v>
      </c>
      <c r="G12" s="52" t="s">
        <v>16</v>
      </c>
      <c r="H12" s="52" t="s">
        <v>17</v>
      </c>
      <c r="I12" s="52" t="s">
        <v>18</v>
      </c>
      <c r="K12" s="27" t="str">
        <f t="shared" si="1"/>
        <v>[MS ID]</v>
      </c>
    </row>
    <row r="13" spans="1:11" ht="16" x14ac:dyDescent="0.35">
      <c r="A13" s="50" t="s">
        <v>32</v>
      </c>
      <c r="B13" s="53" t="s">
        <v>30</v>
      </c>
      <c r="D13" s="54" t="s">
        <v>33</v>
      </c>
      <c r="E13" s="54" t="str">
        <f t="shared" si="0"/>
        <v>[ROLE8 Description]</v>
      </c>
      <c r="F13" s="52" t="s">
        <v>15</v>
      </c>
      <c r="G13" s="52" t="s">
        <v>16</v>
      </c>
      <c r="H13" s="52" t="s">
        <v>17</v>
      </c>
      <c r="I13" s="52" t="s">
        <v>18</v>
      </c>
      <c r="K13" s="27" t="str">
        <f t="shared" si="1"/>
        <v>[MS ID]</v>
      </c>
    </row>
    <row r="14" spans="1:11" ht="16" x14ac:dyDescent="0.35">
      <c r="D14" s="54" t="s">
        <v>34</v>
      </c>
      <c r="E14" s="54" t="str">
        <f t="shared" si="0"/>
        <v>[ROLE9 Description]</v>
      </c>
      <c r="F14" s="52" t="s">
        <v>15</v>
      </c>
      <c r="G14" s="52" t="s">
        <v>16</v>
      </c>
      <c r="H14" s="52" t="s">
        <v>17</v>
      </c>
      <c r="I14" s="52" t="s">
        <v>18</v>
      </c>
      <c r="K14" s="27" t="str">
        <f t="shared" si="1"/>
        <v>[MS ID]</v>
      </c>
    </row>
    <row r="15" spans="1:11" ht="17" customHeight="1" x14ac:dyDescent="0.35">
      <c r="A15" s="62" t="s">
        <v>35</v>
      </c>
      <c r="B15" s="63" t="s">
        <v>36</v>
      </c>
      <c r="D15" s="54" t="s">
        <v>37</v>
      </c>
      <c r="E15" s="54" t="str">
        <f t="shared" si="0"/>
        <v>[ROLE10 Description]</v>
      </c>
      <c r="F15" s="52" t="s">
        <v>15</v>
      </c>
      <c r="G15" s="52" t="s">
        <v>16</v>
      </c>
      <c r="H15" s="52" t="s">
        <v>17</v>
      </c>
      <c r="I15" s="52" t="s">
        <v>18</v>
      </c>
      <c r="K15" s="27" t="str">
        <f t="shared" si="1"/>
        <v>[MS ID]</v>
      </c>
    </row>
    <row r="16" spans="1:11" ht="16" x14ac:dyDescent="0.35">
      <c r="A16" s="62" t="s">
        <v>38</v>
      </c>
      <c r="B16" s="63" t="s">
        <v>39</v>
      </c>
      <c r="D16" s="54" t="s">
        <v>40</v>
      </c>
      <c r="E16" s="54" t="str">
        <f t="shared" si="0"/>
        <v>[ROLE11 Description]</v>
      </c>
      <c r="F16" s="52" t="s">
        <v>15</v>
      </c>
      <c r="G16" s="52" t="s">
        <v>16</v>
      </c>
      <c r="H16" s="52" t="s">
        <v>17</v>
      </c>
      <c r="I16" s="52" t="s">
        <v>18</v>
      </c>
      <c r="K16" s="27" t="str">
        <f t="shared" si="1"/>
        <v>[MS ID]</v>
      </c>
    </row>
    <row r="21" spans="1:3" x14ac:dyDescent="0.35">
      <c r="A21" s="26" t="s">
        <v>41</v>
      </c>
    </row>
    <row r="22" spans="1:3" x14ac:dyDescent="0.35">
      <c r="A22" t="s">
        <v>42</v>
      </c>
    </row>
    <row r="25" spans="1:3" ht="16" x14ac:dyDescent="0.35">
      <c r="A25" s="6" t="s">
        <v>43</v>
      </c>
      <c r="B25" s="31" t="s">
        <v>44</v>
      </c>
      <c r="C25" s="27" t="s">
        <v>45</v>
      </c>
    </row>
    <row r="26" spans="1:3" ht="16" x14ac:dyDescent="0.35">
      <c r="A26" s="6" t="s">
        <v>46</v>
      </c>
      <c r="B26" s="31" t="s">
        <v>47</v>
      </c>
      <c r="C26" s="27" t="s">
        <v>48</v>
      </c>
    </row>
    <row r="27" spans="1:3" ht="16" x14ac:dyDescent="0.35">
      <c r="A27" s="6" t="s">
        <v>49</v>
      </c>
      <c r="B27" s="31" t="s">
        <v>50</v>
      </c>
      <c r="C27" s="27" t="s">
        <v>51</v>
      </c>
    </row>
    <row r="28" spans="1:3" ht="32" x14ac:dyDescent="0.35">
      <c r="A28" s="6" t="s">
        <v>52</v>
      </c>
      <c r="B28" s="31" t="s">
        <v>47</v>
      </c>
      <c r="C28" s="27" t="s">
        <v>48</v>
      </c>
    </row>
    <row r="29" spans="1:3" ht="32" x14ac:dyDescent="0.35">
      <c r="A29" s="6" t="s">
        <v>53</v>
      </c>
      <c r="B29" s="31" t="s">
        <v>54</v>
      </c>
      <c r="C29" s="27" t="s">
        <v>55</v>
      </c>
    </row>
  </sheetData>
  <mergeCells count="6">
    <mergeCell ref="A1:J1"/>
    <mergeCell ref="D5:I5"/>
    <mergeCell ref="F3:G3"/>
    <mergeCell ref="H3:I3"/>
    <mergeCell ref="A2:B2"/>
    <mergeCell ref="D2:I2"/>
  </mergeCells>
  <phoneticPr fontId="5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A7D03-2F1A-4E61-9194-647439F603FD}">
  <dimension ref="A1:P23"/>
  <sheetViews>
    <sheetView workbookViewId="0">
      <selection activeCell="K3" sqref="K3"/>
    </sheetView>
  </sheetViews>
  <sheetFormatPr defaultColWidth="8.6328125" defaultRowHeight="13" x14ac:dyDescent="0.35"/>
  <cols>
    <col min="1" max="2" width="14.36328125" style="2" customWidth="1"/>
    <col min="3" max="3" width="12.453125" style="2" customWidth="1"/>
    <col min="4" max="5" width="15.453125" style="2" customWidth="1"/>
    <col min="6" max="6" width="9.81640625" style="2" customWidth="1"/>
    <col min="7" max="7" width="14.36328125" style="2" customWidth="1"/>
    <col min="8" max="8" width="10.6328125" style="2" customWidth="1"/>
    <col min="9" max="9" width="13" style="2" customWidth="1"/>
    <col min="10" max="10" width="10.6328125" style="2" customWidth="1"/>
    <col min="11" max="11" width="42.36328125" style="2" customWidth="1"/>
    <col min="12" max="12" width="31.453125" style="2" customWidth="1"/>
    <col min="13" max="13" width="13" style="2" customWidth="1"/>
    <col min="14" max="15" width="13.36328125" style="2" customWidth="1"/>
    <col min="16" max="16" width="13.6328125" style="2" customWidth="1"/>
    <col min="17" max="16384" width="8.6328125" style="2"/>
  </cols>
  <sheetData>
    <row r="1" spans="1:16" s="25" customFormat="1" ht="22.5" customHeight="1" thickBot="1" x14ac:dyDescent="0.4">
      <c r="A1" s="97" t="s">
        <v>56</v>
      </c>
      <c r="B1" s="98"/>
      <c r="C1" s="98"/>
      <c r="D1" s="98"/>
      <c r="E1" s="98"/>
      <c r="F1" s="98"/>
      <c r="G1" s="98"/>
      <c r="H1" s="98"/>
      <c r="I1" s="99"/>
      <c r="J1" s="64" t="s">
        <v>57</v>
      </c>
      <c r="K1" s="94" t="s">
        <v>58</v>
      </c>
      <c r="L1" s="95"/>
      <c r="M1" s="95"/>
      <c r="N1" s="95"/>
      <c r="O1" s="95"/>
      <c r="P1" s="96"/>
    </row>
    <row r="2" spans="1:16" s="30" customFormat="1" ht="35.5" customHeight="1" x14ac:dyDescent="0.35">
      <c r="A2" s="76" t="s">
        <v>59</v>
      </c>
      <c r="B2" s="77" t="s">
        <v>60</v>
      </c>
      <c r="C2" s="77" t="s">
        <v>23</v>
      </c>
      <c r="D2" s="77" t="s">
        <v>25</v>
      </c>
      <c r="E2" s="77" t="s">
        <v>27</v>
      </c>
      <c r="F2" s="77" t="s">
        <v>61</v>
      </c>
      <c r="G2" s="77" t="s">
        <v>62</v>
      </c>
      <c r="H2" s="77" t="s">
        <v>5</v>
      </c>
      <c r="I2" s="78" t="s">
        <v>6</v>
      </c>
      <c r="J2" s="47" t="s">
        <v>63</v>
      </c>
      <c r="K2" s="79" t="s">
        <v>64</v>
      </c>
      <c r="L2" s="80" t="s">
        <v>65</v>
      </c>
      <c r="M2" s="80" t="s">
        <v>43</v>
      </c>
      <c r="N2" s="81" t="s">
        <v>46</v>
      </c>
      <c r="O2" s="81" t="s">
        <v>49</v>
      </c>
      <c r="P2" s="82" t="s">
        <v>66</v>
      </c>
    </row>
    <row r="3" spans="1:16" ht="41.25" customHeight="1" x14ac:dyDescent="0.35">
      <c r="A3" s="19" t="str">
        <f>RBAC!B5 &amp; " (" &amp; RBAC!B4 &amp; ") (ORBIT Fabric)"</f>
        <v>Intelligent Auth Accel (AIDE_0094185) (ORBIT Fabric)</v>
      </c>
      <c r="B3" s="9" t="s">
        <v>67</v>
      </c>
      <c r="C3" s="9" t="str">
        <f>RBAC!B9</f>
        <v>nkelly13</v>
      </c>
      <c r="D3" s="9" t="str">
        <f>RBAC!B10</f>
        <v>nkelly13</v>
      </c>
      <c r="E3" s="9" t="str">
        <f>RBAC!B11</f>
        <v>rbhatt27</v>
      </c>
      <c r="F3" s="10" t="s">
        <v>68</v>
      </c>
      <c r="G3" s="11" t="s">
        <v>10</v>
      </c>
      <c r="H3" s="11" t="str">
        <f>RBAC!G4</f>
        <v>nkelly13</v>
      </c>
      <c r="I3" s="65" t="str">
        <f>RBAC!I4</f>
        <v>rbhatt27</v>
      </c>
      <c r="J3" s="15">
        <v>1</v>
      </c>
      <c r="K3" s="39" t="str">
        <f>"AZU_ORBIT_FABRIC_" &amp;TRIM(RBAC!B4)&amp;"_REPORT_USER_PROD"</f>
        <v>AZU_ORBIT_FABRIC_AIDE_0094185_REPORT_USER_PROD</v>
      </c>
      <c r="L3" s="39" t="str">
        <f>TRIM(RBAC!B4) &amp; " " &amp; TRIM(RBAC!B5) &amp; " Group who will VIEW REPORTS in ORBIT Fabric. Note: RESTRICTED ACCESS."</f>
        <v>AIDE_0094185 Intelligent Auth Accel Group who will VIEW REPORTS in ORBIT Fabric. Note: RESTRICTED ACCESS.</v>
      </c>
      <c r="M3" s="34" t="str">
        <f>RBAC!B25</f>
        <v xml:space="preserve">	000600448</v>
      </c>
      <c r="N3" s="34" t="str">
        <f>RBAC!F4</f>
        <v>001016307</v>
      </c>
      <c r="O3" s="34" t="str">
        <f>RBAC!H4</f>
        <v>001939347</v>
      </c>
      <c r="P3" s="33" t="s">
        <v>68</v>
      </c>
    </row>
    <row r="4" spans="1:16" ht="16.25" customHeight="1" x14ac:dyDescent="0.35">
      <c r="A4" s="21"/>
      <c r="B4" s="9"/>
      <c r="C4" s="9"/>
      <c r="D4" s="9"/>
      <c r="E4" s="9"/>
      <c r="F4" s="14" t="s">
        <v>69</v>
      </c>
      <c r="G4" s="11" t="s">
        <v>70</v>
      </c>
      <c r="H4" s="11" t="str">
        <f>RBAC!G4</f>
        <v>nkelly13</v>
      </c>
      <c r="I4" s="66" t="str">
        <f>RBAC!I4</f>
        <v>rbhatt27</v>
      </c>
      <c r="J4" s="15">
        <v>1</v>
      </c>
      <c r="K4" s="39" t="str">
        <f>"AZU_ORBIT_FABRIC_" &amp;TRIM(RBAC!B4)&amp;"_REPORT_OWNER"</f>
        <v>AZU_ORBIT_FABRIC_AIDE_0094185_REPORT_OWNER</v>
      </c>
      <c r="L4" s="39" t="str">
        <f>TRIM(RBAC!B4) &amp; " " &amp; TRIM(RBAC!B5) &amp; " Group who will be the application OWNER in ORBIT Fabric. Note: RESTRICTED ACCESS. Max 3."</f>
        <v>AIDE_0094185 Intelligent Auth Accel Group who will be the application OWNER in ORBIT Fabric. Note: RESTRICTED ACCESS. Max 3.</v>
      </c>
      <c r="M4" s="37" t="str">
        <f>RBAC!B25</f>
        <v xml:space="preserve">	000600448</v>
      </c>
      <c r="N4" s="37" t="str">
        <f>RBAC!B26</f>
        <v xml:space="preserve">	000714540</v>
      </c>
      <c r="O4" s="37" t="str">
        <f>RBAC!B27</f>
        <v xml:space="preserve">	001351306</v>
      </c>
      <c r="P4" s="38" t="s">
        <v>71</v>
      </c>
    </row>
    <row r="5" spans="1:16" x14ac:dyDescent="0.35">
      <c r="A5" s="21"/>
      <c r="B5" s="9"/>
      <c r="C5" s="9"/>
      <c r="D5" s="9"/>
      <c r="E5" s="9"/>
      <c r="F5" s="11"/>
      <c r="G5" s="11" t="s">
        <v>72</v>
      </c>
      <c r="H5" s="11" t="str">
        <f>RBAC!C26</f>
        <v>vkong</v>
      </c>
      <c r="I5" s="66" t="str">
        <f>RBAC!C27</f>
        <v>jjorge6</v>
      </c>
      <c r="J5" s="15">
        <v>1</v>
      </c>
      <c r="K5" s="39" t="str">
        <f>"AZU_ORBIT_FABRIC_" &amp;TRIM(RBAC!B4)&amp;"_REPORT_DEVELOPER_PROD"</f>
        <v>AZU_ORBIT_FABRIC_AIDE_0094185_REPORT_DEVELOPER_PROD</v>
      </c>
      <c r="L5" s="39" t="str">
        <f>TRIM(RBAC!B4) &amp; " " &amp; TRIM(RBAC!B5) &amp; " Group who will PUBLISH REPORTS in ORBIT Fabric. Note: RESTRICTED ACCESS."</f>
        <v>AIDE_0094185 Intelligent Auth Accel Group who will PUBLISH REPORTS in ORBIT Fabric. Note: RESTRICTED ACCESS.</v>
      </c>
      <c r="M5" s="37" t="str">
        <f>RBAC!B25</f>
        <v xml:space="preserve">	000600448</v>
      </c>
      <c r="N5" s="37" t="str">
        <f>RBAC!B26</f>
        <v xml:space="preserve">	000714540</v>
      </c>
      <c r="O5" s="37" t="str">
        <f>RBAC!B27</f>
        <v xml:space="preserve">	001351306</v>
      </c>
      <c r="P5" s="38" t="s">
        <v>71</v>
      </c>
    </row>
    <row r="6" spans="1:16" x14ac:dyDescent="0.35">
      <c r="A6" s="21"/>
      <c r="B6" s="16"/>
      <c r="C6" s="16"/>
      <c r="D6" s="16"/>
      <c r="E6" s="16"/>
      <c r="F6" s="15" t="s">
        <v>73</v>
      </c>
      <c r="G6" s="11" t="s">
        <v>74</v>
      </c>
      <c r="H6" s="11" t="str">
        <f>RBAC!C28</f>
        <v>vkong</v>
      </c>
      <c r="I6" s="66" t="str">
        <f>RBAC!C29</f>
        <v>mcruz39</v>
      </c>
      <c r="J6" s="15" t="s">
        <v>75</v>
      </c>
      <c r="K6" s="39" t="str">
        <f>"AZU_ORBIT_FABRIC_" &amp;TRIM(RBAC!B4)&amp;"_FABRIC_DEVELOPER_PROD"</f>
        <v>AZU_ORBIT_FABRIC_AIDE_0094185_FABRIC_DEVELOPER_PROD</v>
      </c>
      <c r="L6" s="39" t="str">
        <f>TRIM(RBAC!B4) &amp; " " &amp; TRIM(RBAC!B5) &amp; " Group who will DEVELOP FABRIC ITEMS in ORBIT Fabric. Note: RESTRICTED ACCESS."</f>
        <v>AIDE_0094185 Intelligent Auth Accel Group who will DEVELOP FABRIC ITEMS in ORBIT Fabric. Note: RESTRICTED ACCESS.</v>
      </c>
      <c r="M6" s="37" t="str">
        <f>RBAC!B25</f>
        <v xml:space="preserve">	000600448</v>
      </c>
      <c r="N6" s="37" t="str">
        <f>RBAC!B28</f>
        <v xml:space="preserve">	000714540</v>
      </c>
      <c r="O6" s="37" t="str">
        <f>RBAC!B29</f>
        <v xml:space="preserve">	000750692</v>
      </c>
      <c r="P6" s="38" t="s">
        <v>71</v>
      </c>
    </row>
    <row r="7" spans="1:16" x14ac:dyDescent="0.35">
      <c r="A7" s="21"/>
      <c r="B7" s="4" t="s">
        <v>76</v>
      </c>
      <c r="C7" s="4" t="str">
        <f>RBAC!B9</f>
        <v>nkelly13</v>
      </c>
      <c r="D7" s="4" t="str">
        <f>RBAC!B10</f>
        <v>nkelly13</v>
      </c>
      <c r="E7" s="4" t="str">
        <f>RBAC!B11</f>
        <v>rbhatt27</v>
      </c>
      <c r="F7" s="1" t="s">
        <v>68</v>
      </c>
      <c r="G7" s="8" t="s">
        <v>10</v>
      </c>
      <c r="H7" s="8" t="str">
        <f>RBAC!G4</f>
        <v>nkelly13</v>
      </c>
      <c r="I7" s="67" t="str">
        <f>RBAC!I4</f>
        <v>rbhatt27</v>
      </c>
      <c r="J7" s="15">
        <v>2</v>
      </c>
      <c r="K7" s="42" t="str">
        <f>"AZU_ORBIT_FABRIC_" &amp;TRIM(RBAC!B4)&amp;"_REPORT_USER_DEV"</f>
        <v>AZU_ORBIT_FABRIC_AIDE_0094185_REPORT_USER_DEV</v>
      </c>
      <c r="L7" s="42" t="str">
        <f>TRIM(RBAC!B4) &amp; " " &amp; TRIM(RBAC!B5) &amp; " Group who will VIEW REPORTS in ORBIT Fabric. Note: RESTRICTED ACCESS."</f>
        <v>AIDE_0094185 Intelligent Auth Accel Group who will VIEW REPORTS in ORBIT Fabric. Note: RESTRICTED ACCESS.</v>
      </c>
      <c r="M7" s="40" t="str">
        <f>RBAC!B25</f>
        <v xml:space="preserve">	000600448</v>
      </c>
      <c r="N7" s="40" t="str">
        <f>RBAC!F4</f>
        <v>001016307</v>
      </c>
      <c r="O7" s="40" t="str">
        <f>RBAC!H4</f>
        <v>001939347</v>
      </c>
      <c r="P7" s="41" t="s">
        <v>68</v>
      </c>
    </row>
    <row r="8" spans="1:16" x14ac:dyDescent="0.35">
      <c r="A8" s="21"/>
      <c r="B8" s="3"/>
      <c r="C8" s="3"/>
      <c r="D8" s="3"/>
      <c r="E8" s="3"/>
      <c r="F8" s="1" t="s">
        <v>69</v>
      </c>
      <c r="G8" s="8" t="s">
        <v>72</v>
      </c>
      <c r="H8" s="8" t="str">
        <f>RBAC!C26</f>
        <v>vkong</v>
      </c>
      <c r="I8" s="67" t="str">
        <f>RBAC!C27</f>
        <v>jjorge6</v>
      </c>
      <c r="J8" s="15">
        <v>2</v>
      </c>
      <c r="K8" s="42" t="str">
        <f>"AZU_ORBIT_FABRIC_" &amp;TRIM(RBAC!B4)&amp;"_REPORT_DEVELOPER_DEV"</f>
        <v>AZU_ORBIT_FABRIC_AIDE_0094185_REPORT_DEVELOPER_DEV</v>
      </c>
      <c r="L8" s="42" t="str">
        <f>TRIM(RBAC!B4) &amp; " " &amp; TRIM(RBAC!B5) &amp; " Group who will PUBLISH REPORTS in ORBIT Fabric. Note: RESTRICTED ACCESS."</f>
        <v>AIDE_0094185 Intelligent Auth Accel Group who will PUBLISH REPORTS in ORBIT Fabric. Note: RESTRICTED ACCESS.</v>
      </c>
      <c r="M8" s="40" t="str">
        <f>RBAC!B25</f>
        <v xml:space="preserve">	000600448</v>
      </c>
      <c r="N8" s="40" t="str">
        <f>RBAC!B26</f>
        <v xml:space="preserve">	000714540</v>
      </c>
      <c r="O8" s="40" t="str">
        <f>RBAC!B27</f>
        <v xml:space="preserve">	001351306</v>
      </c>
      <c r="P8" s="41" t="s">
        <v>71</v>
      </c>
    </row>
    <row r="9" spans="1:16" x14ac:dyDescent="0.35">
      <c r="A9" s="21"/>
      <c r="B9" s="5"/>
      <c r="C9" s="5"/>
      <c r="D9" s="5"/>
      <c r="E9" s="5"/>
      <c r="F9" s="1" t="s">
        <v>73</v>
      </c>
      <c r="G9" s="8" t="s">
        <v>74</v>
      </c>
      <c r="H9" s="8" t="str">
        <f>RBAC!C28</f>
        <v>vkong</v>
      </c>
      <c r="I9" s="67" t="str">
        <f>RBAC!C29</f>
        <v>mcruz39</v>
      </c>
      <c r="J9" s="15" t="s">
        <v>77</v>
      </c>
      <c r="K9" s="42" t="str">
        <f>"AZU_ORBIT_FABRIC_" &amp;TRIM(RBAC!B4)&amp;"_FABRIC_DEVELOPER_DEV"</f>
        <v>AZU_ORBIT_FABRIC_AIDE_0094185_FABRIC_DEVELOPER_DEV</v>
      </c>
      <c r="L9" s="42" t="str">
        <f>TRIM(RBAC!B4) &amp; " " &amp; TRIM(RBAC!B5) &amp; " Group who will DEVELOP FABRIC ITEMS in ORBIT Fabric. Note: RESTRICTED ACCESS."</f>
        <v>AIDE_0094185 Intelligent Auth Accel Group who will DEVELOP FABRIC ITEMS in ORBIT Fabric. Note: RESTRICTED ACCESS.</v>
      </c>
      <c r="M9" s="40" t="str">
        <f>RBAC!B25</f>
        <v xml:space="preserve">	000600448</v>
      </c>
      <c r="N9" s="40" t="str">
        <f>RBAC!B28</f>
        <v xml:space="preserve">	000714540</v>
      </c>
      <c r="O9" s="40" t="str">
        <f>RBAC!B29</f>
        <v xml:space="preserve">	000750692</v>
      </c>
      <c r="P9" s="41" t="s">
        <v>71</v>
      </c>
    </row>
    <row r="10" spans="1:16" s="7" customFormat="1" x14ac:dyDescent="0.35">
      <c r="A10" s="20"/>
      <c r="B10" s="17" t="s">
        <v>78</v>
      </c>
      <c r="C10" s="17" t="str">
        <f>RBAC!B9</f>
        <v>nkelly13</v>
      </c>
      <c r="D10" s="17" t="str">
        <f>RBAC!B10</f>
        <v>nkelly13</v>
      </c>
      <c r="E10" s="17" t="str">
        <f>RBAC!B11</f>
        <v>rbhatt27</v>
      </c>
      <c r="F10" s="18" t="s">
        <v>68</v>
      </c>
      <c r="G10" s="13" t="s">
        <v>10</v>
      </c>
      <c r="H10" s="13" t="str">
        <f>RBAC!G4</f>
        <v>nkelly13</v>
      </c>
      <c r="I10" s="68" t="str">
        <f>RBAC!I4</f>
        <v>rbhatt27</v>
      </c>
      <c r="J10" s="15">
        <f>IF(RBAC!B12="N", "OPTIONAL", 3)</f>
        <v>3</v>
      </c>
      <c r="K10" s="43" t="str">
        <f>"AZU_ORBIT_FABRIC_" &amp;TRIM(RBAC!B4)&amp;"_REPORT_USER_TEST"</f>
        <v>AZU_ORBIT_FABRIC_AIDE_0094185_REPORT_USER_TEST</v>
      </c>
      <c r="L10" s="43" t="str">
        <f>TRIM(RBAC!B4) &amp; " " &amp; TRIM(RBAC!B5) &amp; " Group who will VIEW REPORTS in ORBIT Fabric. Note: RESTRICTED ACCESS."</f>
        <v>AIDE_0094185 Intelligent Auth Accel Group who will VIEW REPORTS in ORBIT Fabric. Note: RESTRICTED ACCESS.</v>
      </c>
      <c r="M10" s="35" t="str">
        <f>RBAC!B25</f>
        <v xml:space="preserve">	000600448</v>
      </c>
      <c r="N10" s="35" t="str">
        <f>RBAC!F4</f>
        <v>001016307</v>
      </c>
      <c r="O10" s="35" t="str">
        <f>RBAC!H4</f>
        <v>001939347</v>
      </c>
      <c r="P10" s="36" t="s">
        <v>79</v>
      </c>
    </row>
    <row r="11" spans="1:16" s="7" customFormat="1" x14ac:dyDescent="0.35">
      <c r="A11" s="20"/>
      <c r="B11" s="12"/>
      <c r="C11" s="12"/>
      <c r="D11" s="12"/>
      <c r="E11" s="12"/>
      <c r="F11" s="18" t="s">
        <v>69</v>
      </c>
      <c r="G11" s="18" t="s">
        <v>72</v>
      </c>
      <c r="H11" s="18" t="str">
        <f>RBAC!C26</f>
        <v>vkong</v>
      </c>
      <c r="I11" s="69" t="str">
        <f>RBAC!C27</f>
        <v>jjorge6</v>
      </c>
      <c r="J11" s="15">
        <f>IF(RBAC!B12="N", "OPTIONAL", 3)</f>
        <v>3</v>
      </c>
      <c r="K11" s="43" t="str">
        <f>"AZU_ORBIT_FABRIC_" &amp;TRIM(RBAC!B4)&amp;"_REPORT_DEVELOPER_TEST"</f>
        <v>AZU_ORBIT_FABRIC_AIDE_0094185_REPORT_DEVELOPER_TEST</v>
      </c>
      <c r="L11" s="43" t="str">
        <f>TRIM(RBAC!B4) &amp; " " &amp; TRIM(RBAC!B5) &amp; " Group who will PUBLISH REPORTS in ORBIT Fabric. Note: RESTRICTED ACCESS."</f>
        <v>AIDE_0094185 Intelligent Auth Accel Group who will PUBLISH REPORTS in ORBIT Fabric. Note: RESTRICTED ACCESS.</v>
      </c>
      <c r="M11" s="43" t="str">
        <f>RBAC!B25</f>
        <v xml:space="preserve">	000600448</v>
      </c>
      <c r="N11" s="43" t="str">
        <f>RBAC!B26</f>
        <v xml:space="preserve">	000714540</v>
      </c>
      <c r="O11" s="43" t="str">
        <f>RBAC!B27</f>
        <v xml:space="preserve">	001351306</v>
      </c>
      <c r="P11" s="44" t="s">
        <v>71</v>
      </c>
    </row>
    <row r="12" spans="1:16" s="7" customFormat="1" ht="13.5" thickBot="1" x14ac:dyDescent="0.4">
      <c r="A12" s="22"/>
      <c r="B12" s="23"/>
      <c r="C12" s="23"/>
      <c r="D12" s="23"/>
      <c r="E12" s="23"/>
      <c r="F12" s="24" t="s">
        <v>80</v>
      </c>
      <c r="G12" s="24" t="s">
        <v>74</v>
      </c>
      <c r="H12" s="24" t="str">
        <f>RBAC!C28</f>
        <v>vkong</v>
      </c>
      <c r="I12" s="70" t="str">
        <f>RBAC!C29</f>
        <v>mcruz39</v>
      </c>
      <c r="J12" s="83" t="str">
        <f>IF(RBAC!B12="N", "OPTIONAL", "3F")</f>
        <v>3F</v>
      </c>
      <c r="K12" s="45" t="str">
        <f>"AZU_ORBIT_FABRIC_" &amp;TRIM(RBAC!B4)&amp;"_FABRIC_DEVELOPER_TEST"</f>
        <v>AZU_ORBIT_FABRIC_AIDE_0094185_FABRIC_DEVELOPER_TEST</v>
      </c>
      <c r="L12" s="45" t="str">
        <f>TRIM(RBAC!B4) &amp; " " &amp; TRIM(RBAC!B5) &amp; " Group who will DEVELOP FABRIC ITEMS in ORBIT Fabric. Note: RESTRICTED ACCESS."</f>
        <v>AIDE_0094185 Intelligent Auth Accel Group who will DEVELOP FABRIC ITEMS in ORBIT Fabric. Note: RESTRICTED ACCESS.</v>
      </c>
      <c r="M12" s="45" t="str">
        <f>RBAC!B25</f>
        <v xml:space="preserve">	000600448</v>
      </c>
      <c r="N12" s="45" t="str">
        <f>RBAC!B28</f>
        <v xml:space="preserve">	000714540</v>
      </c>
      <c r="O12" s="45" t="str">
        <f>RBAC!B29</f>
        <v xml:space="preserve">	000750692</v>
      </c>
      <c r="P12" s="46" t="s">
        <v>71</v>
      </c>
    </row>
    <row r="13" spans="1:16" x14ac:dyDescent="0.35">
      <c r="J13" s="2" t="str">
        <f>IF(AND(RBAC!B13="Y", RBAC!D6&lt;&gt;"ROLE1", RBAC!D6&lt;&gt;""), "4", "")</f>
        <v/>
      </c>
      <c r="K13" s="2" t="str">
        <f>IF(AND(RBAC!B13="Y", RBAC!D6&lt;&gt;"ROLE1", RBAC!D6&lt;&gt;""), "AZU_ORBIT_FABRIC_" &amp; RBAC!B4 &amp; "_REPORT_" &amp; SUBSTITUTE(UPPER(RBAC!D6), " ", "_") &amp; "_PROD", "")</f>
        <v/>
      </c>
      <c r="L13" s="2" t="str">
        <f>IF(AND(RBAC!B13="Y", RBAC!D6&lt;&gt;"ROLE1", RBAC!D6&lt;&gt;""), RBAC!B4 &amp; " " &amp; RBAC!B5 &amp; " " &amp; RBAC!E6 &amp; " Group who will VIEW REPORTS in ORBIT Fabric.", "")</f>
        <v/>
      </c>
      <c r="M13" s="2" t="str">
        <f>IF(AND(RBAC!B13="Y", RBAC!D6&lt;&gt;"ROLE1", RBAC!D6&lt;&gt;""), RBAC!B25, "")</f>
        <v/>
      </c>
      <c r="N13" s="2" t="str">
        <f>IF(AND(RBAC!B13="Y", RBAC!D6&lt;&gt;"ROLE1", RBAC!D6&lt;&gt;""), RBAC!F6, "")</f>
        <v/>
      </c>
      <c r="O13" s="2" t="str">
        <f>IF(AND(RBAC!B13="Y", RBAC!D6&lt;&gt;"ROLE1", RBAC!D6&lt;&gt;""), RBAC!H6, "")</f>
        <v/>
      </c>
    </row>
    <row r="14" spans="1:16" x14ac:dyDescent="0.35">
      <c r="B14" s="7"/>
      <c r="J14" s="2" t="str">
        <f>IF(AND(RBAC!B13="Y", RBAC!D7&lt;&gt;"ROLE2", RBAC!D7&lt;&gt;""), "4", "")</f>
        <v/>
      </c>
      <c r="K14" s="2" t="str">
        <f>IF(AND(RBAC!B13="Y", RBAC!D7&lt;&gt;"ROLE2", RBAC!D7&lt;&gt;""), "AZU_ORBIT_FABRIC_" &amp; RBAC!B4 &amp; "_REPORT_" &amp; SUBSTITUTE(UPPER(RBAC!D7), " ", "_") &amp; "_PROD", "")</f>
        <v/>
      </c>
      <c r="L14" s="2" t="str">
        <f>IF(AND(RBAC!B13="Y", RBAC!D7&lt;&gt;"ROLE2", RBAC!D7&lt;&gt;""), RBAC!B4 &amp; " " &amp; RBAC!B5 &amp; " " &amp; RBAC!E7 &amp; " Group who will VIEW REPORTS in ORBIT Fabric.", "")</f>
        <v/>
      </c>
      <c r="M14" s="2" t="str">
        <f>IF(AND(RBAC!B13="Y", RBAC!D7&lt;&gt;"ROLE2", RBAC!D7&lt;&gt;""), RBAC!B25, "")</f>
        <v/>
      </c>
      <c r="N14" s="2" t="str">
        <f>IF(AND(RBAC!B13="Y", RBAC!D7&lt;&gt;"ROLE2", RBAC!D7&lt;&gt;""), RBAC!F7, "")</f>
        <v/>
      </c>
      <c r="O14" s="2" t="str">
        <f>IF(AND(RBAC!B13="Y", RBAC!D7&lt;&gt;"ROLE2", RBAC!D7&lt;&gt;""), RBAC!H7, "")</f>
        <v/>
      </c>
    </row>
    <row r="15" spans="1:16" x14ac:dyDescent="0.35">
      <c r="J15" s="2" t="str">
        <f>IF(AND(RBAC!B13="Y", RBAC!D8&lt;&gt;"ROLE3", RBAC!D8&lt;&gt;""), "4", "")</f>
        <v/>
      </c>
      <c r="K15" s="2" t="str">
        <f>IF(AND(RBAC!B13="Y", RBAC!D8&lt;&gt;"ROLE3", RBAC!D8&lt;&gt;""), "AZU_ORBIT_FABRIC_" &amp; RBAC!B4 &amp; "_REPORT_" &amp; SUBSTITUTE(UPPER(RBAC!D8), " ", "_") &amp; "_PROD", "")</f>
        <v/>
      </c>
      <c r="L15" s="2" t="str">
        <f>IF(AND(RBAC!B13="Y", RBAC!D8&lt;&gt;"ROLE3", RBAC!D8&lt;&gt;""), RBAC!B4 &amp; " " &amp; RBAC!B5 &amp; " " &amp; RBAC!E8 &amp; " Group who will VIEW REPORTS in ORBIT Fabric.", "")</f>
        <v/>
      </c>
      <c r="M15" s="2" t="str">
        <f>IF(AND(RBAC!B13="Y", RBAC!D8&lt;&gt;"ROLE3", RBAC!D8&lt;&gt;""), RBAC!B25, "")</f>
        <v/>
      </c>
      <c r="N15" s="2" t="str">
        <f>IF(AND(RBAC!B13="Y", RBAC!D8&lt;&gt;"ROLE3", RBAC!D8&lt;&gt;""), RBAC!F8, "")</f>
        <v/>
      </c>
      <c r="O15" s="2" t="str">
        <f>IF(AND(RBAC!B13="Y", RBAC!D8&lt;&gt;"ROLE3", RBAC!D8&lt;&gt;""), RBAC!H8, "")</f>
        <v/>
      </c>
    </row>
    <row r="16" spans="1:16" x14ac:dyDescent="0.35">
      <c r="J16" s="2" t="str">
        <f>IF(AND(RBAC!B13="Y", RBAC!D9&lt;&gt;"ROLE4", RBAC!D9&lt;&gt;""), "4", "")</f>
        <v/>
      </c>
      <c r="K16" s="2" t="str">
        <f>IF(AND(RBAC!B13="Y", RBAC!D9&lt;&gt;"ROLE4", RBAC!D9&lt;&gt;""), "AZU_ORBIT_FABRIC_" &amp; RBAC!B4 &amp; "_REPORT_" &amp; SUBSTITUTE(UPPER(RBAC!D9), " ", "_") &amp; "_PROD", "")</f>
        <v/>
      </c>
      <c r="L16" s="2" t="str">
        <f>IF(AND(RBAC!B13="Y", RBAC!D9&lt;&gt;"ROLE4", RBAC!D9&lt;&gt;""), RBAC!B4 &amp; " " &amp; RBAC!B5 &amp; " " &amp; RBAC!E9 &amp; " Group who will VIEW REPORTS in ORBIT Fabric.", "")</f>
        <v/>
      </c>
      <c r="M16" s="2" t="str">
        <f>IF(AND(RBAC!B13="Y", RBAC!D9&lt;&gt;"ROLE4", RBAC!D9&lt;&gt;""), RBAC!B25, "")</f>
        <v/>
      </c>
      <c r="N16" s="2" t="str">
        <f>IF(AND(RBAC!B13="Y", RBAC!D9&lt;&gt;"ROLE4", RBAC!D9&lt;&gt;""), RBAC!F9, "")</f>
        <v/>
      </c>
      <c r="O16" s="2" t="str">
        <f>IF(AND(RBAC!B13="Y", RBAC!D9&lt;&gt;"ROLE4", RBAC!D9&lt;&gt;""), RBAC!H9, "")</f>
        <v/>
      </c>
    </row>
    <row r="17" spans="10:15" x14ac:dyDescent="0.35">
      <c r="J17" s="2" t="str">
        <f>IF(AND(RBAC!B13="Y", RBAC!D10&lt;&gt;"ROLE5", RBAC!D10&lt;&gt;""), "4", "")</f>
        <v/>
      </c>
      <c r="K17" s="2" t="str">
        <f>IF(AND(RBAC!B13="Y", RBAC!D10&lt;&gt;"ROLE5", RBAC!D10&lt;&gt;""), "AZU_ORBIT_FABRIC_" &amp; RBAC!B4 &amp; "_REPORT_" &amp; SUBSTITUTE(UPPER(RBAC!D10), " ", "_") &amp; "_PROD", "")</f>
        <v/>
      </c>
      <c r="L17" s="2" t="str">
        <f>IF(AND(RBAC!B13="Y", RBAC!D10&lt;&gt;"ROLE5", RBAC!D10&lt;&gt;""), RBAC!B4 &amp; " " &amp; RBAC!B5 &amp; " " &amp; RBAC!E10 &amp; " Group who will VIEW REPORTS in ORBIT Fabric.", "")</f>
        <v/>
      </c>
      <c r="M17" s="2" t="str">
        <f>IF(AND(RBAC!B13="Y", RBAC!D10&lt;&gt;"ROLE5", RBAC!D10&lt;&gt;""), RBAC!B25, "")</f>
        <v/>
      </c>
      <c r="N17" s="2" t="str">
        <f>IF(AND(RBAC!B13="Y", RBAC!D10&lt;&gt;"ROLE5", RBAC!D10&lt;&gt;""), RBAC!F10, "")</f>
        <v/>
      </c>
      <c r="O17" s="2" t="str">
        <f>IF(AND(RBAC!B13="Y", RBAC!D10&lt;&gt;"ROLE5", RBAC!D10&lt;&gt;""), RBAC!H10, "")</f>
        <v/>
      </c>
    </row>
    <row r="18" spans="10:15" x14ac:dyDescent="0.35">
      <c r="J18" s="2" t="str">
        <f>IF(AND(RBAC!B13="Y", RBAC!D11&lt;&gt;"ROLE6", RBAC!D11&lt;&gt;""), "4", "")</f>
        <v/>
      </c>
      <c r="K18" s="2" t="str">
        <f>IF(AND(RBAC!B13="Y", RBAC!D11&lt;&gt;"ROLE6", RBAC!D11&lt;&gt;""), "AZU_ORBIT_FABRIC_" &amp; RBAC!B4 &amp; "_REPORT_" &amp; SUBSTITUTE(UPPER(RBAC!D11), " ", "_") &amp; "_PROD", "")</f>
        <v/>
      </c>
      <c r="L18" s="2" t="str">
        <f>IF(AND(RBAC!B13="Y", RBAC!D11&lt;&gt;"ROLE6", RBAC!D11&lt;&gt;""), RBAC!B4 &amp; " " &amp; RBAC!B5 &amp; " " &amp; RBAC!E11 &amp; " Group who will VIEW REPORTS in ORBIT Fabric.", "")</f>
        <v/>
      </c>
      <c r="M18" s="2" t="str">
        <f>IF(AND(RBAC!B13="Y", RBAC!D11&lt;&gt;"ROLE6", RBAC!D11&lt;&gt;""), RBAC!B25, "")</f>
        <v/>
      </c>
      <c r="N18" s="2" t="str">
        <f>IF(AND(RBAC!B13="Y", RBAC!D11&lt;&gt;"ROLE6", RBAC!D11&lt;&gt;""), RBAC!F11, "")</f>
        <v/>
      </c>
      <c r="O18" s="2" t="str">
        <f>IF(AND(RBAC!B13="Y", RBAC!D11&lt;&gt;"ROLE6", RBAC!D11&lt;&gt;""), RBAC!H11, "")</f>
        <v/>
      </c>
    </row>
    <row r="19" spans="10:15" x14ac:dyDescent="0.35">
      <c r="J19" s="2" t="str">
        <f>IF(AND(RBAC!B13="Y", RBAC!D12&lt;&gt;"ROLE7", RBAC!D12&lt;&gt;""), "4", "")</f>
        <v/>
      </c>
      <c r="K19" s="2" t="str">
        <f>IF(AND(RBAC!B13="Y", RBAC!D12&lt;&gt;"ROLE7", RBAC!D12&lt;&gt;""), "AZU_ORBIT_FABRIC_" &amp; RBAC!B4 &amp; "_REPORT_" &amp; SUBSTITUTE(UPPER(RBAC!D12), " ", "_") &amp; "_PROD", "")</f>
        <v/>
      </c>
      <c r="L19" s="2" t="str">
        <f>IF(AND(RBAC!B13="Y", RBAC!D12&lt;&gt;"ROLE7", RBAC!D12&lt;&gt;""), RBAC!B4 &amp; " " &amp; RBAC!B5 &amp; " " &amp; RBAC!E12 &amp; " Group who will VIEW REPORTS in ORBIT Fabric.", "")</f>
        <v/>
      </c>
      <c r="M19" s="2" t="str">
        <f>IF(AND(RBAC!B13="Y", RBAC!D12&lt;&gt;"ROLE7", RBAC!D12&lt;&gt;""), RBAC!B25, "")</f>
        <v/>
      </c>
      <c r="N19" s="2" t="str">
        <f>IF(AND(RBAC!B13="Y", RBAC!D12&lt;&gt;"ROLE7", RBAC!D12&lt;&gt;""), RBAC!F12, "")</f>
        <v/>
      </c>
      <c r="O19" s="2" t="str">
        <f>IF(AND(RBAC!B13="Y", RBAC!D12&lt;&gt;"ROLE7", RBAC!D12&lt;&gt;""), RBAC!H12, "")</f>
        <v/>
      </c>
    </row>
    <row r="20" spans="10:15" x14ac:dyDescent="0.35">
      <c r="J20" s="2" t="str">
        <f>IF(AND(RBAC!B13="Y", RBAC!D13&lt;&gt;"ROLE8", RBAC!D13&lt;&gt;""), "4", "")</f>
        <v/>
      </c>
      <c r="K20" s="2" t="str">
        <f>IF(AND(RBAC!B13="Y", RBAC!D13&lt;&gt;"ROLE8", RBAC!D13&lt;&gt;""), "AZU_ORBIT_FABRIC_" &amp; RBAC!B4 &amp; "_REPORT_" &amp; SUBSTITUTE(UPPER(RBAC!D13), " ", "_") &amp; "_PROD", "")</f>
        <v/>
      </c>
      <c r="L20" s="2" t="str">
        <f>IF(AND(RBAC!B13="Y", RBAC!D13&lt;&gt;"ROLE8", RBAC!D13&lt;&gt;""), RBAC!B4 &amp; " " &amp; RBAC!B5 &amp; " " &amp; RBAC!E13 &amp; " Group who will VIEW REPORTS in ORBIT Fabric.", "")</f>
        <v/>
      </c>
      <c r="M20" s="2" t="str">
        <f>IF(AND(RBAC!B13="Y", RBAC!D13&lt;&gt;"ROLE8", RBAC!D13&lt;&gt;""), RBAC!B25, "")</f>
        <v/>
      </c>
      <c r="N20" s="2" t="str">
        <f>IF(AND(RBAC!B13="Y", RBAC!D13&lt;&gt;"ROLE8", RBAC!D13&lt;&gt;""), RBAC!F13, "")</f>
        <v/>
      </c>
      <c r="O20" s="2" t="str">
        <f>IF(AND(RBAC!B13="Y", RBAC!D13&lt;&gt;"ROLE8", RBAC!D13&lt;&gt;""), RBAC!H13, "")</f>
        <v/>
      </c>
    </row>
    <row r="21" spans="10:15" x14ac:dyDescent="0.35">
      <c r="J21" s="2" t="str">
        <f>IF(AND(RBAC!B13="Y", RBAC!D14&lt;&gt;"ROLE9", RBAC!D14&lt;&gt;""), "4", "")</f>
        <v/>
      </c>
      <c r="K21" s="2" t="str">
        <f>IF(AND(RBAC!B13="Y", RBAC!D14&lt;&gt;"ROLE9", RBAC!D14&lt;&gt;""), "AZU_ORBIT_FABRIC_" &amp; RBAC!B4 &amp; "_REPORT_" &amp; SUBSTITUTE(UPPER(RBAC!D14), " ", "_") &amp; "_PROD", "")</f>
        <v/>
      </c>
      <c r="L21" s="2" t="str">
        <f>IF(AND(RBAC!B13="Y", RBAC!D14&lt;&gt;"ROLE9", RBAC!D14&lt;&gt;""), RBAC!B4 &amp; " " &amp; RBAC!B5 &amp; " " &amp; RBAC!E14 &amp; " Group who will VIEW REPORTS in ORBIT Fabric.", "")</f>
        <v/>
      </c>
      <c r="M21" s="2" t="str">
        <f>IF(AND(RBAC!B13="Y", RBAC!D14&lt;&gt;"ROLE9", RBAC!D14&lt;&gt;""), RBAC!B25, "")</f>
        <v/>
      </c>
      <c r="N21" s="2" t="str">
        <f>IF(AND(RBAC!B13="Y", RBAC!D14&lt;&gt;"ROLE9", RBAC!D14&lt;&gt;""), RBAC!F14, "")</f>
        <v/>
      </c>
      <c r="O21" s="2" t="str">
        <f>IF(AND(RBAC!B13="Y", RBAC!D14&lt;&gt;"ROLE9", RBAC!D14&lt;&gt;""), RBAC!H14, "")</f>
        <v/>
      </c>
    </row>
    <row r="22" spans="10:15" x14ac:dyDescent="0.35">
      <c r="J22" s="2" t="str">
        <f>IF(AND(RBAC!B13="Y", RBAC!D15&lt;&gt;"ROLE10", RBAC!D15&lt;&gt;""), "4", "")</f>
        <v/>
      </c>
      <c r="K22" s="2" t="str">
        <f>IF(AND(RBAC!B13="Y", RBAC!D15&lt;&gt;"ROLE10", RBAC!D15&lt;&gt;""), "AZU_ORBIT_FABRIC_" &amp; RBAC!B4 &amp; "_REPORT_" &amp; SUBSTITUTE(UPPER(RBAC!D15), " ", "_") &amp; "_PROD", "")</f>
        <v/>
      </c>
      <c r="L22" s="2" t="str">
        <f>IF(AND(RBAC!B13="Y", RBAC!D15&lt;&gt;"ROLE10", RBAC!D15&lt;&gt;""), RBAC!B4 &amp; " " &amp; RBAC!B5 &amp; " " &amp; RBAC!E15 &amp; " Group who will VIEW REPORTS in ORBIT Fabric.", "")</f>
        <v/>
      </c>
      <c r="M22" s="2" t="str">
        <f>IF(AND(RBAC!B13="Y", RBAC!D15&lt;&gt;"ROLE10", RBAC!D15&lt;&gt;""), RBAC!B25, "")</f>
        <v/>
      </c>
      <c r="N22" s="2" t="str">
        <f>IF(AND(RBAC!B13="Y", RBAC!D15&lt;&gt;"ROLE10", RBAC!D15&lt;&gt;""), RBAC!F15, "")</f>
        <v/>
      </c>
      <c r="O22" s="2" t="str">
        <f>IF(AND(RBAC!B13="Y", RBAC!D15&lt;&gt;"ROLE10", RBAC!D15&lt;&gt;""), RBAC!H15, "")</f>
        <v/>
      </c>
    </row>
    <row r="23" spans="10:15" x14ac:dyDescent="0.35">
      <c r="J23" s="2" t="str">
        <f>IF(AND(RBAC!B13="Y", RBAC!D16&lt;&gt;"ROLE11", RBAC!D16&lt;&gt;""), "4", "")</f>
        <v/>
      </c>
      <c r="K23" s="2" t="str">
        <f>IF(AND(RBAC!B13="Y", RBAC!D16&lt;&gt;"ROLE11", RBAC!D16&lt;&gt;""), "AZU_ORBIT_FABRIC_" &amp; RBAC!B4 &amp; "_REPORT_" &amp; SUBSTITUTE(UPPER(RBAC!D16), " ", "_") &amp; "_PROD", "")</f>
        <v/>
      </c>
      <c r="L23" s="2" t="str">
        <f>IF(AND(RBAC!B13="Y", RBAC!D16&lt;&gt;"ROLE11", RBAC!D16&lt;&gt;""), RBAC!B4 &amp; " " &amp; RBAC!B5 &amp; " " &amp; RBAC!E16 &amp; " Group who will VIEW REPORTS in ORBIT Fabric.", "")</f>
        <v/>
      </c>
      <c r="M23" s="2" t="str">
        <f>IF(AND(RBAC!B13="Y", RBAC!D16&lt;&gt;"ROLE11", RBAC!D16&lt;&gt;""), RBAC!B25, "")</f>
        <v/>
      </c>
      <c r="N23" s="2" t="str">
        <f>IF(AND(RBAC!B13="Y", RBAC!D16&lt;&gt;"ROLE11", RBAC!D16&lt;&gt;""), RBAC!F16, "")</f>
        <v/>
      </c>
      <c r="O23" s="2" t="str">
        <f>IF(AND(RBAC!B13="Y", RBAC!D16&lt;&gt;"ROLE11", RBAC!D16&lt;&gt;""), RBAC!H16, "")</f>
        <v/>
      </c>
    </row>
  </sheetData>
  <sheetProtection algorithmName="SHA-512" hashValue="wIaU4+a3sORcCw6ohOM33wWYs5G4To6Abqq9/W6Lf2SPs2Q12UfSD6Nr6nIsMgDs8BexttEG7INDpHx52mtJtg==" saltValue="AkgB3ZXySMvuTZmjcUzBPg==" spinCount="100000" sheet="1" objects="1" scenarios="1"/>
  <autoFilter ref="A2:L12" xr:uid="{EBFADB9A-1EA4-45B0-BFF8-5349968945E4}"/>
  <mergeCells count="2">
    <mergeCell ref="K1:P1"/>
    <mergeCell ref="A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77F8-4A22-46CC-8539-096147A37D42}">
  <dimension ref="A1:C8"/>
  <sheetViews>
    <sheetView workbookViewId="0">
      <selection activeCell="A3" sqref="A3"/>
    </sheetView>
  </sheetViews>
  <sheetFormatPr defaultColWidth="8.6328125" defaultRowHeight="13" x14ac:dyDescent="0.35"/>
  <cols>
    <col min="1" max="1" width="10.6328125" style="2" customWidth="1"/>
    <col min="2" max="2" width="47.1796875" style="2" customWidth="1"/>
    <col min="3" max="3" width="33.453125" style="2" customWidth="1"/>
    <col min="4" max="16384" width="8.6328125" style="2"/>
  </cols>
  <sheetData>
    <row r="1" spans="1:3" s="25" customFormat="1" ht="21.5" thickBot="1" x14ac:dyDescent="0.4">
      <c r="A1" s="100" t="s">
        <v>57</v>
      </c>
      <c r="B1" s="101"/>
      <c r="C1" s="102"/>
    </row>
    <row r="2" spans="1:3" s="30" customFormat="1" ht="32" x14ac:dyDescent="0.35">
      <c r="A2" s="47" t="s">
        <v>63</v>
      </c>
      <c r="B2" s="48" t="s">
        <v>81</v>
      </c>
      <c r="C2" s="49" t="s">
        <v>82</v>
      </c>
    </row>
    <row r="3" spans="1:3" x14ac:dyDescent="0.35">
      <c r="A3" s="71">
        <v>1</v>
      </c>
      <c r="B3" s="75" t="str">
        <f>RBAC!B4 &amp; " " &amp; RBAC!B5&amp; " [Prod]"</f>
        <v>AIDE_0094185 Intelligent Auth Accel [Prod]</v>
      </c>
      <c r="C3" s="33" t="str">
        <f ca="1">"Description: "&amp;RBAC!B6 &amp; CHAR(13) &amp; "RITM:"&amp;RBAC!B3 &amp; CHAR(13) &amp; "Created Date: " &amp; TEXT(TODAY(), "MM/DD/YYYY") &amp; CHAR(13) &amp; "ServiceNow Group: " &amp;RBAC!B7 &amp; CHAR(13) &amp; "Email Distribution: " &amp; RBAC!B8</f>
        <v>Description: 	
Power BI Workspace for Digital Prior Authorization_x000D_RITM:RITM7831632_x000D_Created Date: 02/16/2026_x000D_ServiceNow Group: AIDE_0094185_IntelligentAuthAccel_PowerBI_x000D_Email Distribution: DPA_PowerBI_Management</v>
      </c>
    </row>
    <row r="4" spans="1:3" x14ac:dyDescent="0.35">
      <c r="A4" s="71" t="s">
        <v>75</v>
      </c>
      <c r="B4" s="37" t="str">
        <f>RBAC!B4 &amp; " " &amp; RBAC!B5&amp; " Fabric [Prod] "</f>
        <v xml:space="preserve">AIDE_0094185 Intelligent Auth Accel Fabric [Prod] </v>
      </c>
      <c r="C4" s="38" t="str">
        <f ca="1">"Description: "&amp;RBAC!B6 &amp; CHAR(13) &amp; "RITM:"&amp;RBAC!B3 &amp; CHAR(13) &amp; "Created Date: " &amp; TEXT(TODAY(), "MM/DD/YYYY") &amp; CHAR(13) &amp; "ServiceNow Group: " &amp;RBAC!B7 &amp; CHAR(13) &amp; "Email Distribution: " &amp; RBAC!B8</f>
        <v>Description: 	
Power BI Workspace for Digital Prior Authorization_x000D_RITM:RITM7831632_x000D_Created Date: 02/16/2026_x000D_ServiceNow Group: AIDE_0094185_IntelligentAuthAccel_PowerBI_x000D_Email Distribution: DPA_PowerBI_Management</v>
      </c>
    </row>
    <row r="5" spans="1:3" x14ac:dyDescent="0.35">
      <c r="A5" s="72">
        <v>2</v>
      </c>
      <c r="B5" s="37" t="str">
        <f>RBAC!B4 &amp; " " &amp; RBAC!B5&amp; " [Dev]"</f>
        <v>AIDE_0094185 Intelligent Auth Accel [Dev]</v>
      </c>
      <c r="C5" s="38" t="str">
        <f ca="1">"Description: "&amp;RBAC!B6 &amp; CHAR(13) &amp; "RITM:"&amp;RBAC!B3 &amp; CHAR(13) &amp; "Created Date: " &amp; TEXT(TODAY(), "MM/DD/YYYY") &amp; CHAR(13) &amp; "ServiceNow Group: " &amp;RBAC!B7 &amp; CHAR(13) &amp; "Email Distribution: " &amp; RBAC!B8</f>
        <v>Description: 	
Power BI Workspace for Digital Prior Authorization_x000D_RITM:RITM7831632_x000D_Created Date: 02/16/2026_x000D_ServiceNow Group: AIDE_0094185_IntelligentAuthAccel_PowerBI_x000D_Email Distribution: DPA_PowerBI_Management</v>
      </c>
    </row>
    <row r="6" spans="1:3" x14ac:dyDescent="0.35">
      <c r="A6" s="72" t="s">
        <v>77</v>
      </c>
      <c r="B6" s="37" t="str">
        <f>RBAC!B4 &amp; " " &amp; RBAC!B5&amp; " Fabric [Dev]"</f>
        <v>AIDE_0094185 Intelligent Auth Accel Fabric [Dev]</v>
      </c>
      <c r="C6" s="38" t="str">
        <f ca="1">"Description: "&amp;RBAC!B6 &amp; CHAR(13) &amp; "RITM:"&amp;RBAC!B3 &amp; CHAR(13) &amp; "Created Date: " &amp; TEXT(TODAY(), "MM/DD/YYYY") &amp; CHAR(13) &amp; "ServiceNow Group: " &amp;RBAC!B7 &amp; CHAR(13) &amp; "Email Distribution: " &amp; RBAC!B8</f>
        <v>Description: 	
Power BI Workspace for Digital Prior Authorization_x000D_RITM:RITM7831632_x000D_Created Date: 02/16/2026_x000D_ServiceNow Group: AIDE_0094185_IntelligentAuthAccel_PowerBI_x000D_Email Distribution: DPA_PowerBI_Management</v>
      </c>
    </row>
    <row r="7" spans="1:3" s="7" customFormat="1" x14ac:dyDescent="0.35">
      <c r="A7" s="73">
        <f>IF(RBAC!B12="N", "OPTIONAL", 3)</f>
        <v>3</v>
      </c>
      <c r="B7" s="35" t="str">
        <f>RBAC!B4 &amp; " " &amp; RBAC!B5&amp; " [Test]"</f>
        <v>AIDE_0094185 Intelligent Auth Accel [Test]</v>
      </c>
      <c r="C7" s="36" t="str">
        <f ca="1">"Description: "&amp;RBAC!B6 &amp; CHAR(13) &amp; "RITM:"&amp;RBAC!B3 &amp; CHAR(13) &amp; "Created Date: " &amp; TEXT(TODAY(), "MM/DD/YYYY") &amp; CHAR(13) &amp; "ServiceNow Group: " &amp;RBAC!B7 &amp; CHAR(13) &amp; "Email Distribution: " &amp; RBAC!B8</f>
        <v>Description: 	
Power BI Workspace for Digital Prior Authorization_x000D_RITM:RITM7831632_x000D_Created Date: 02/16/2026_x000D_ServiceNow Group: AIDE_0094185_IntelligentAuthAccel_PowerBI_x000D_Email Distribution: DPA_PowerBI_Management</v>
      </c>
    </row>
    <row r="8" spans="1:3" s="7" customFormat="1" ht="13.5" thickBot="1" x14ac:dyDescent="0.4">
      <c r="A8" s="74" t="str">
        <f>IF(RBAC!B12="N", "OPTIONAL", "3F")</f>
        <v>3F</v>
      </c>
      <c r="B8" s="45" t="str">
        <f>RBAC!B4 &amp; " " &amp; RBAC!B5&amp; " Fabric [Test]"</f>
        <v>AIDE_0094185 Intelligent Auth Accel Fabric [Test]</v>
      </c>
      <c r="C8" s="46" t="str">
        <f ca="1">"Description: "&amp;RBAC!B6 &amp; CHAR(13) &amp; "RITM:"&amp;RBAC!B3 &amp; CHAR(13) &amp; "Created Date: " &amp; TEXT(TODAY(), "MM/DD/YYYY") &amp; CHAR(13) &amp; "ServiceNow Group: " &amp;RBAC!B7 &amp; CHAR(13) &amp; "Email Distribution: " &amp; RBAC!B8</f>
        <v>Description: 	
Power BI Workspace for Digital Prior Authorization_x000D_RITM:RITM7831632_x000D_Created Date: 02/16/2026_x000D_ServiceNow Group: AIDE_0094185_IntelligentAuthAccel_PowerBI_x000D_Email Distribution: DPA_PowerBI_Management</v>
      </c>
    </row>
  </sheetData>
  <sheetProtection algorithmName="SHA-512" hashValue="DxJtlV/Ziyy0nmM8sXKHtHmJCZg4fKSta5cEei9wBwC5PpX6FN+z4AqvjmqVH0ylsRg7cHWAtf7JgQs3FQB79Q==" saltValue="VCvM+Pr93kB35fXFoO5yww==" spinCount="100000" sheet="1" objects="1" scenarios="1"/>
  <autoFilter ref="A2:C8" xr:uid="{EBFADB9A-1EA4-45B0-BFF8-5349968945E4}"/>
  <mergeCells count="1">
    <mergeCell ref="A1:C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6bd7ae-3b49-4d61-a195-d39c18b051d9" xsi:nil="true"/>
    <lcf76f155ced4ddcb4097134ff3c332f xmlns="6a0641da-9b51-461e-aad1-ac08bd08fd0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A91CA5C6FD844589D36E7C9BC71D80" ma:contentTypeVersion="17" ma:contentTypeDescription="Create a new document." ma:contentTypeScope="" ma:versionID="902bc46d27533db86910d484e01e75c6">
  <xsd:schema xmlns:xsd="http://www.w3.org/2001/XMLSchema" xmlns:xs="http://www.w3.org/2001/XMLSchema" xmlns:p="http://schemas.microsoft.com/office/2006/metadata/properties" xmlns:ns2="6a0641da-9b51-461e-aad1-ac08bd08fd00" xmlns:ns3="936bd7ae-3b49-4d61-a195-d39c18b051d9" targetNamespace="http://schemas.microsoft.com/office/2006/metadata/properties" ma:root="true" ma:fieldsID="86299b510df65a22e0daa5cb7c935bff" ns2:_="" ns3:_="">
    <xsd:import namespace="6a0641da-9b51-461e-aad1-ac08bd08fd00"/>
    <xsd:import namespace="936bd7ae-3b49-4d61-a195-d39c18b051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0641da-9b51-461e-aad1-ac08bd08f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a6b2b66-40d8-4e06-8a39-adc3ecd451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bd7ae-3b49-4d61-a195-d39c18b051d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082a4bd-3796-443c-887c-60f9db4d95f9}" ma:internalName="TaxCatchAll" ma:showField="CatchAllData" ma:web="936bd7ae-3b49-4d61-a195-d39c18b051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9FF1F6-2666-4338-AD62-E8F9E5C59B3E}">
  <ds:schemaRefs>
    <ds:schemaRef ds:uri="http://schemas.microsoft.com/PowerBIAddIn"/>
  </ds:schemaRefs>
</ds:datastoreItem>
</file>

<file path=customXml/itemProps2.xml><?xml version="1.0" encoding="utf-8"?>
<ds:datastoreItem xmlns:ds="http://schemas.openxmlformats.org/officeDocument/2006/customXml" ds:itemID="{B08BD292-2AB4-4797-9FCF-09F1D589269F}">
  <ds:schemaRefs>
    <ds:schemaRef ds:uri="http://schemas.microsoft.com/office/2006/metadata/properties"/>
    <ds:schemaRef ds:uri="http://schemas.microsoft.com/office/infopath/2007/PartnerControls"/>
    <ds:schemaRef ds:uri="936bd7ae-3b49-4d61-a195-d39c18b051d9"/>
    <ds:schemaRef ds:uri="6a0641da-9b51-461e-aad1-ac08bd08fd00"/>
  </ds:schemaRefs>
</ds:datastoreItem>
</file>

<file path=customXml/itemProps3.xml><?xml version="1.0" encoding="utf-8"?>
<ds:datastoreItem xmlns:ds="http://schemas.openxmlformats.org/officeDocument/2006/customXml" ds:itemID="{1C66F490-6980-4D16-9C9E-5EA46F927D1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DE82B28-C350-4386-9B1C-9E3108C717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0641da-9b51-461e-aad1-ac08bd08fd00"/>
    <ds:schemaRef ds:uri="936bd7ae-3b49-4d61-a195-d39c18b051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RBAC</vt:lpstr>
      <vt:lpstr>ORBIT_Use_Only</vt:lpstr>
      <vt:lpstr>ORBIT_Only_Workspaces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Kong, Victoria</dc:creator>
  <cp:keywords/>
  <dc:description/>
  <cp:lastModifiedBy>Dharani, Talasila</cp:lastModifiedBy>
  <cp:revision/>
  <dcterms:created xsi:type="dcterms:W3CDTF">2025-03-02T19:06:29Z</dcterms:created>
  <dcterms:modified xsi:type="dcterms:W3CDTF">2026-02-16T12:13:31Z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0x010100A4A91CA5C6FD844589D36E7C9BC71D80</vt:lpwstr>
  </property>
  <property fmtid="{D5CDD505-2E9C-101B-9397-08002B2CF9AE}" pid="3" name="MediaServiceImageTags">
    <vt:lpwstr/>
  </property>
</Properties>
</file>